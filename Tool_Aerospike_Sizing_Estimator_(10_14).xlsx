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load" sheetId="1" r:id="rId5"/>
    <sheet state="visible" name="AWS" sheetId="2" r:id="rId6"/>
    <sheet state="visible" name="Custom" sheetId="3" r:id="rId7"/>
    <sheet state="hidden" name="Miscellaneous" sheetId="4" r:id="rId8"/>
  </sheets>
  <definedNames>
    <definedName name="RF_3">Workload!$E$7</definedName>
    <definedName name="UniqueData1">Workload!$C$39</definedName>
    <definedName name="EachSISize2">Workload!$D$47</definedName>
    <definedName name="PISizeOnDisk3">Workload!$E$44</definedName>
    <definedName name="PIReadIOPerWrite1">Workload!$C$76</definedName>
    <definedName name="DataFootprint2">Workload!$D$51</definedName>
    <definedName localSheetId="2" name="InstanceDiskCount">Custom!$C$14</definedName>
    <definedName name="SprigsPerPartition2">Workload!$D$43</definedName>
    <definedName name="PeakDiskWriteThroughput1">Workload!$C$85</definedName>
    <definedName name="DataReadIOPerRead5">Workload!$G$73</definedName>
    <definedName name="DiskUtilisation">Workload!$C$59</definedName>
    <definedName name="SIWriteIOPerWrite4">Workload!$F$79</definedName>
    <definedName name="InstanceRamSize">AWS!$F$4</definedName>
    <definedName name="AvgRecordSize3">Workload!$E$38</definedName>
    <definedName name="PIStorage5">Workload!$G$27</definedName>
    <definedName name="AvgObjRPS1">Workload!$C$21</definedName>
    <definedName name="SIStorage5">Workload!$G$28</definedName>
    <definedName name="DiskOverprovisioning">AWS!$C$12</definedName>
    <definedName name="SIStorage3">Workload!$E$28</definedName>
    <definedName name="PIReadIOPerRead1">Workload!$C$77</definedName>
    <definedName name="SIReadIOPerQuery1">Workload!$C$81</definedName>
    <definedName name="UniqueData3">Workload!$E$39</definedName>
    <definedName localSheetId="2" name="NodeCount">Custom!$C$10</definedName>
    <definedName localSheetId="2" name="AZTransferByWriteReplication">Custom!$C$41</definedName>
    <definedName name="DataReadIOPerRead1">Workload!$C$73</definedName>
    <definedName name="AvgObjPerRecord1">Workload!$C$12</definedName>
    <definedName name="PeakDiskWriteThroughput2">Workload!$D$85</definedName>
    <definedName name="PIWriteIOPerWrite2">Workload!$D$75</definedName>
    <definedName name="PeakObjWPS2">Workload!$D$25</definedName>
    <definedName name="PeakDiskReadIOPS2">Workload!$D$89</definedName>
    <definedName name="SICoverage4">Workload!$F$16</definedName>
    <definedName localSheetId="2" name="ResiliencyTarget">Custom!$C$3</definedName>
    <definedName name="SprigsPerPartition5">Workload!$G$43</definedName>
    <definedName name="DataStorage2">Workload!$D$29</definedName>
    <definedName name="PeakObjRPS3">Workload!$E$22</definedName>
    <definedName name="UniqueData2">Workload!$D$39</definedName>
    <definedName name="SIWriteIOPerWrite2">Workload!$D$79</definedName>
    <definedName name="PIReadIOPerRead3">Workload!$E$77</definedName>
    <definedName name="PIStorage3">Workload!$E$27</definedName>
    <definedName name="RecordCount4">Workload!$F$40</definedName>
    <definedName name="PeakWriteIOPS">Workload!$C$96</definedName>
    <definedName name="NotFoundRate2">Workload!$D$19</definedName>
    <definedName name="DataStorage4">Workload!$F$29</definedName>
    <definedName name="PISizeInRam2">Workload!$D$42</definedName>
    <definedName name="NumberOfSIs5">Workload!$G$15</definedName>
    <definedName name="RegionTransferCost">#REF!</definedName>
    <definedName localSheetId="2" name="NetWorkCost">Custom!$C$52</definedName>
    <definedName name="PIReadIOPerWrite2">Workload!$D$76</definedName>
    <definedName name="PeakDiskReadThroughput2">Workload!$D$86</definedName>
    <definedName name="SprigsPerPartition3">Workload!$E$43</definedName>
    <definedName name="PageCacheRate1">Workload!$C$20</definedName>
    <definedName name="PIStorage1">Workload!$C$27</definedName>
    <definedName name="RecordCount3">Workload!$E$40</definedName>
    <definedName name="RecordsPerSprig">Miscellaneous!$C$13</definedName>
    <definedName name="DataFootprint5">Workload!$G$51</definedName>
    <definedName name="EachSISize4">Workload!$F$47</definedName>
    <definedName localSheetId="2" name="NodeFailure">Custom!$C$4</definedName>
    <definedName name="SIEntries2">Workload!$D$46</definedName>
    <definedName localSheetId="2" name="CostPerRegion">Custom!$C$50</definedName>
    <definedName name="PeakDiskReadIOPS5">Workload!$G$89</definedName>
    <definedName name="PIReadIOPerWrite4">Workload!$F$76</definedName>
    <definedName name="UniqueData4">Workload!$F$39</definedName>
    <definedName name="DataStorage1">Workload!$C$29</definedName>
    <definedName name="TotalGuaranteedDisk">AWS!$F$20</definedName>
    <definedName name="TargetCachedLevel4">Workload!$F$31</definedName>
    <definedName name="TotalSISize4">Workload!$F$48</definedName>
    <definedName name="PeakDiskReadThroughput4">Workload!$F$86</definedName>
    <definedName name="PeakObjWPS1">Workload!$C$25</definedName>
    <definedName name="EachSISize1">Workload!$C$47</definedName>
    <definedName name="TB">Miscellaneous!$C$29</definedName>
    <definedName name="NodeCount">AWS!$C$11</definedName>
    <definedName name="AvgObjWPS1">Workload!$C$24</definedName>
    <definedName name="PeakDiskReadIOPS1">Workload!$C$89</definedName>
    <definedName name="NumberOfSIs2">Workload!$D$15</definedName>
    <definedName name="PageCacheRate5">Workload!$G$20</definedName>
    <definedName name="GuaranteedPeakThroughput">AWS!$F$23</definedName>
    <definedName name="InstanceReservedHourlyRate">AWS!$F$12</definedName>
    <definedName name="DataFootprint4">Workload!$F$51</definedName>
    <definedName name="PIWriteIOPerWrite5">Workload!$G$75</definedName>
    <definedName name="PIEntrySize">Miscellaneous!$C$3</definedName>
    <definedName name="AvgObjWPS4">Workload!$F$24</definedName>
    <definedName name="TotalGuaranteedRam">AWS!$F$19</definedName>
    <definedName name="PIReadIOPerWrite3">Workload!$E$76</definedName>
    <definedName name="AWSDiskIOPS">AWS!$F$8</definedName>
    <definedName name="SIReadIOPerWrite1">Workload!$C$80</definedName>
    <definedName localSheetId="2" name="InstanceHourlyRate">#REF!</definedName>
    <definedName localSheetId="2" name="AZ">Custom!$C$5</definedName>
    <definedName localSheetId="2" name="TotalGuaranteedRam">Custom!$F$29</definedName>
    <definedName name="MinDisk">Workload!$C$63</definedName>
    <definedName name="CostPerRegion">AWS!$C$40</definedName>
    <definedName name="PeakDiskReadThroughput">Workload!$C$94</definedName>
    <definedName name="GuaranteedPeakIOPS">AWS!$F$24</definedName>
    <definedName localSheetId="2" name="InstanceThroughput">Custom!$C$22</definedName>
    <definedName name="TargetCachedLevel5">Workload!$G$31</definedName>
    <definedName name="NotFoundRate5">Workload!$G$19</definedName>
    <definedName name="NotFoundRate1">Workload!$C$19</definedName>
    <definedName name="InstanceHourlyRate">AWS!$F$11</definedName>
    <definedName name="AvgObjSize3">Workload!$E$9</definedName>
    <definedName name="SIEntries3">Workload!$E$46</definedName>
    <definedName name="InstanceDiskCount">AWS!$F$5</definedName>
    <definedName name="SIWriteIOPerWrite1">Workload!$C$79</definedName>
    <definedName name="TargetCachedLevel2">Workload!$D$31</definedName>
    <definedName name="AvgObjWPS5">Workload!$G$24</definedName>
    <definedName name="DataWriteIOPerWrite5">Workload!$G$72</definedName>
    <definedName name="PeakSIQPS3">Workload!$E$17</definedName>
    <definedName name="PeakDiskWriteIOPS4">Workload!$F$88</definedName>
    <definedName name="AzFailure">AWS!$C$6</definedName>
    <definedName name="TargetCachedLevel3">Workload!$E$31</definedName>
    <definedName name="AvgObjSize1">Workload!$C$9</definedName>
    <definedName name="DefragOverhead">Workload!$C$57</definedName>
    <definedName name="PIWriteIOPerWrite1">Workload!$C$75</definedName>
    <definedName name="PeakObjWPS5">Workload!$G$25</definedName>
    <definedName name="ObjCount4">Workload!$F$10</definedName>
    <definedName localSheetId="2" name="GuaranteedPeakIOPS">Custom!$F$34</definedName>
    <definedName name="SIDepth2">Workload!$D$49</definedName>
    <definedName localSheetId="2" name="Multiplier">Custom!$C$25</definedName>
    <definedName name="PeakSIQPS5">Workload!$G$17</definedName>
    <definedName name="SICoverage1">Workload!$C$16</definedName>
    <definedName name="DataFootprint3">Workload!$E$51</definedName>
    <definedName name="PIWriteIOPerWrite3">Workload!$E$75</definedName>
    <definedName name="DataWriteIOPerWrite3">Workload!$E$72</definedName>
    <definedName name="AvgObjPerRecord2">Workload!$D$12</definedName>
    <definedName name="AZ">AWS!$C$5</definedName>
    <definedName name="SICoverage3">Workload!$E$16</definedName>
    <definedName name="SprigSize">Miscellaneous!$C$11</definedName>
    <definedName name="PeakDiskWriteThroughput">Workload!$C$93</definedName>
    <definedName name="RF_1">Workload!$C$7</definedName>
    <definedName name="MinRam">Workload!$C$62</definedName>
    <definedName name="PeakReadIOPS">Workload!$C$97</definedName>
    <definedName name="SIDepth3">Workload!$E$49</definedName>
    <definedName name="SIDepth5">Workload!$G$49</definedName>
    <definedName name="PageCacheRate2">Workload!$D$20</definedName>
    <definedName name="GB">Miscellaneous!$C$28</definedName>
    <definedName name="SIEntries4">Workload!$F$46</definedName>
    <definedName name="Regions">#REF!</definedName>
    <definedName name="Partitions">Miscellaneous!$C$12</definedName>
    <definedName name="RecordCount1">Workload!$C$40</definedName>
    <definedName name="PIStorage4">Workload!$F$27</definedName>
    <definedName name="AZTransferByRead">AWS!$C$32</definedName>
    <definedName name="PISizeOnDisk1">Workload!$C$44</definedName>
    <definedName name="CompressionReductionObj1">Workload!$C$13</definedName>
    <definedName name="PeakSIQPS2">Workload!$D$17</definedName>
    <definedName name="RecordCount2">Workload!$D$40</definedName>
    <definedName name="PIReadIOPerRead4">Workload!$F$77</definedName>
    <definedName name="ReadFromNearAZ">AWS!$C$7</definedName>
    <definedName localSheetId="2" name="AWSDiskThroughput">Custom!$C$18</definedName>
    <definedName name="DataReadIOPerRead3">Workload!$E$73</definedName>
    <definedName name="DataReadIOPerRead4">Workload!$F$73</definedName>
    <definedName name="EachSISize5">Workload!$G$47</definedName>
    <definedName name="DataStorage5">Workload!$G$29</definedName>
    <definedName name="ObjCount2">Workload!$D$10</definedName>
    <definedName name="DataWriteIOPerWrite4">Workload!$F$72</definedName>
    <definedName name="PeakSIQPS4">Workload!$F$17</definedName>
    <definedName name="SIFillFactor">Miscellaneous!$C$16</definedName>
    <definedName name="SecondsInAYear">Miscellaneous!$C$24</definedName>
    <definedName name="AWSTotalCPU">AWS!$F$26</definedName>
    <definedName localSheetId="2" name="ReadFromNearAZ">Custom!$C$7</definedName>
    <definedName name="DataReadIOPerRead2">Workload!$D$73</definedName>
    <definedName name="DataFootprint1">Workload!$C$51</definedName>
    <definedName name="SIEntrySize">Miscellaneous!$C$4</definedName>
    <definedName name="SIOverhead">Miscellaneous!$C$5</definedName>
    <definedName name="PISizeInRam3">Workload!$E$42</definedName>
    <definedName name="InstanceCpuCount">AWS!$F$3</definedName>
    <definedName name="AvgObjRPS2">Workload!$D$21</definedName>
    <definedName localSheetId="2" name="TotalGuaranteedDisk">Custom!$F$30</definedName>
    <definedName name="SprigsPerPartition1">Workload!$C$43</definedName>
    <definedName name="PISizeInRam1">Workload!$C$42</definedName>
    <definedName localSheetId="2" name="AWSTotalCPU">Custom!$F$36</definedName>
    <definedName name="ObjCount5">Workload!$G$10</definedName>
    <definedName name="SIWriteIOPerWrite5">Workload!$G$79</definedName>
    <definedName name="PeakDiskReadIOPS4">Workload!$F$89</definedName>
    <definedName name="PISizeInRam5">Workload!$G$42</definedName>
    <definedName name="NotFoundRate3">Workload!$E$19</definedName>
    <definedName name="PeakObjRPS5">Workload!$G$22</definedName>
    <definedName name="AvgObjSize5">Workload!$G$9</definedName>
    <definedName name="SICoverage5">Workload!$G$16</definedName>
    <definedName name="PeakDiskWriteIOPS3">Workload!$E$88</definedName>
    <definedName name="AvgObjSize2">Workload!$D$9</definedName>
    <definedName name="PageCacheRate3">Workload!$E$20</definedName>
    <definedName name="RecordOverhead">Miscellaneous!$C$8</definedName>
    <definedName name="AvgObjRPS4">Workload!$F$21</definedName>
    <definedName name="SIEntries1">Workload!$C$46</definedName>
    <definedName name="SIDepth4">Workload!$F$49</definedName>
    <definedName name="SIBTreeNodeCapacity">Miscellaneous!$C$15</definedName>
    <definedName name="AZTransferByWriteReplication">AWS!$C$31</definedName>
    <definedName localSheetId="2" name="InstanceIOPS">Custom!$C$21</definedName>
    <definedName name="SIDepth1">Workload!$C$49</definedName>
    <definedName name="PeakObjWPS3">Workload!$E$25</definedName>
    <definedName name="SIStorage2">Workload!$D$28</definedName>
    <definedName name="CompressionReductionObj5">Workload!$G$13</definedName>
    <definedName name="PeakDiskWriteThroughput5">Workload!$G$85</definedName>
    <definedName name="TotalSISize3">Workload!$E$48</definedName>
    <definedName name="NumberOfSIs1">Workload!$C$15</definedName>
    <definedName name="SIReadIOPerQuery5">Workload!$G$81</definedName>
    <definedName name="SIReadIOPerWrite2">Workload!$D$80</definedName>
    <definedName name="SprigsPerPartition4">Workload!$F$43</definedName>
    <definedName name="PeakDiskReadThroughput3">Workload!$E$86</definedName>
    <definedName localSheetId="2" name="InstanceDiskSize">Custom!$C$20</definedName>
    <definedName name="PeakObjWPS4">Workload!$F$25</definedName>
    <definedName name="AWSDiskThroughput">AWS!$F$7</definedName>
    <definedName name="PISizeOnDisk2">Workload!$D$44</definedName>
    <definedName name="HoursInAYear">Miscellaneous!$C$23</definedName>
    <definedName name="NumberOfSIs4">Workload!$F$15</definedName>
    <definedName name="PageCacheRate4">Workload!$F$20</definedName>
    <definedName name="PeakDiskWriteThroughput4">Workload!$F$85</definedName>
    <definedName name="TotalSISize1">Workload!$C$48</definedName>
    <definedName name="DomainModelDiskToRamRatio">Workload!$C$64</definedName>
    <definedName name="NodeFailure">AWS!$C$4</definedName>
    <definedName name="ObjCount1">Workload!$C$10</definedName>
    <definedName name="AvgObjWPS3">Workload!$E$24</definedName>
    <definedName name="SIReadIOPerQuery4">Workload!$F$81</definedName>
    <definedName name="AvgRecordSize4">Workload!$F$38</definedName>
    <definedName name="EachSISize3">Workload!$E$47</definedName>
    <definedName name="SICoverage2">Workload!$D$16</definedName>
    <definedName name="PIReadIOPerRead5">Workload!$G$77</definedName>
    <definedName name="PeakSIQPS1">Workload!$C$17</definedName>
    <definedName name="UniqueData5">Workload!$G$39</definedName>
    <definedName localSheetId="2" name="AZTransferByWrite">Custom!$C$40</definedName>
    <definedName localSheetId="2" name="InstanceCpuCount">Custom!$C$12</definedName>
    <definedName name="AvgObjPerRecord4">Workload!$F$12</definedName>
    <definedName localSheetId="2" name="RegionTransferCost">#REF!</definedName>
    <definedName name="NetWorkCost">AWS!$C$42</definedName>
    <definedName name="AvgObjWPS2">Workload!$D$24</definedName>
    <definedName name="WriteBlockSize">Miscellaneous!$C$6</definedName>
    <definedName name="UniqueData">Workload!$C$54</definedName>
    <definedName name="AvgObjPerRecord3">Workload!$E$12</definedName>
    <definedName name="SIStorage1">Workload!$C$28</definedName>
    <definedName name="PeakDiskWriteIOPS2">Workload!$D$88</definedName>
    <definedName name="NotFoundRate4">Workload!$F$19</definedName>
    <definedName localSheetId="2" name="AZTransferCost">Custom!$C$44</definedName>
    <definedName localSheetId="2" name="AzFailure">Custom!$C$6</definedName>
    <definedName name="NumberOfSIs3">Workload!$E$15</definedName>
    <definedName name="PageCacheSize">Workload!$C$65</definedName>
    <definedName localSheetId="2" name="InstanceType">#REF!</definedName>
    <definedName name="Multiplier">AWS!$C$15</definedName>
    <definedName name="InstanceDiskSize">AWS!$F$6</definedName>
    <definedName localSheetId="2" name="ResistAZFailure">Custom!$C$3</definedName>
    <definedName name="TargetCachedLevel1">Workload!$C$31</definedName>
    <definedName localSheetId="2" name="AZTransferByRead">Custom!$C$42</definedName>
    <definedName name="MemoryUtilisation">Workload!$C$58</definedName>
    <definedName name="PISizeInRam4">Workload!$F$42</definedName>
    <definedName name="RecordCount5">Workload!$G$40</definedName>
    <definedName name="AvgRecordSize2">Workload!$D$38</definedName>
    <definedName name="PIStorage2">Workload!$D$27</definedName>
    <definedName name="AvgRecordSize5">Workload!$G$38</definedName>
    <definedName name="PIReadIOPerWrite5">Workload!$G$76</definedName>
    <definedName name="SIReadIOPerWrite4">Workload!$F$80</definedName>
    <definedName localSheetId="2" name="InstanceCount">Custom!$C$10</definedName>
    <definedName localSheetId="2" name="InstanceRamSize">Custom!$C$13</definedName>
    <definedName name="InstanceIOPS">AWS!$F$9</definedName>
    <definedName name="PeakDiskReadIOPS3">Workload!$E$89</definedName>
    <definedName name="TotalSISize2">Workload!$D$48</definedName>
    <definedName name="PeakObjRPS4">Workload!$F$22</definedName>
    <definedName name="DataWriteIOPerWrite1">Workload!$C$72</definedName>
    <definedName name="SIReadIOPerQuery3">Workload!$E$81</definedName>
    <definedName localSheetId="2" name="GuaranteedPeakThroughput">Custom!$F$33</definedName>
    <definedName name="DiskBlockSize">Miscellaneous!$C$7</definedName>
    <definedName name="CompressionReductionObj2">Workload!$D$13</definedName>
    <definedName name="SIStorage4">Workload!$F$28</definedName>
    <definedName name="RF_4">Workload!$F$7</definedName>
    <definedName name="AvgObjRPS5">Workload!$G$21</definedName>
    <definedName name="DataWriteIOPerWrite2">Workload!$D$72</definedName>
    <definedName name="ResistAZFailure">AWS!$C$3</definedName>
    <definedName name="PIReadIOPerRead2">Workload!$D$77</definedName>
    <definedName name="PeakDiskWriteIOPS5">Workload!$G$88</definedName>
    <definedName name="SIWriteIOPerWrite3">Workload!$E$79</definedName>
    <definedName name="TotalSISize5">Workload!$G$48</definedName>
    <definedName name="CompressionReductionObj4">Workload!$F$13</definedName>
    <definedName localSheetId="2" name="DiskOverprovisioning">Custom!$C$16</definedName>
    <definedName name="SIReadIOPerWrite5">Workload!$G$80</definedName>
    <definedName name="PISizeOnDisk4">Workload!$F$44</definedName>
    <definedName name="CompressionReductionObj3">Workload!$E$13</definedName>
    <definedName localSheetId="2" name="NodeType">#REF!</definedName>
    <definedName name="NodeType">AWS!$C$10</definedName>
    <definedName name="AvgObjSize4">Workload!$F$9</definedName>
    <definedName name="AvgObjRPS3">Workload!$E$21</definedName>
    <definedName name="PIWriteIOPerWrite4">Workload!$F$75</definedName>
    <definedName name="PeakObjRPS1">Workload!$C$22</definedName>
    <definedName name="SIReadIOPerQuery2">Workload!$D$81</definedName>
    <definedName name="AvgRecordSize1">Workload!$C$38</definedName>
    <definedName name="ResiliencyTarget">AWS!$C$3</definedName>
    <definedName name="ObjCount3">Workload!$E$10</definedName>
    <definedName name="AZTransferByWrite">AWS!$C$30</definedName>
    <definedName name="RF_5">Workload!$G$7</definedName>
    <definedName name="RF_2">Workload!$D$7</definedName>
    <definedName name="InstanceCount">AWS!$C$11</definedName>
    <definedName localSheetId="2" name="Regions">#REF!</definedName>
    <definedName name="KB">Miscellaneous!$C$26</definedName>
    <definedName name="AZTransferCost">AWS!$C$34</definedName>
    <definedName name="InstanceType">AWS!$C$10</definedName>
    <definedName localSheetId="2" name="InstanceReservedHourlyRate">Custom!$C$17</definedName>
    <definedName name="AvgObjPerRecord5">Workload!$G$12</definedName>
    <definedName name="DataStorage3">Workload!$E$29</definedName>
    <definedName name="PeakDiskReadThroughput1">Workload!$C$86</definedName>
    <definedName name="PeakDiskWriteThroughput3">Workload!$E$85</definedName>
    <definedName name="InstanceThroughput">AWS!$F$10</definedName>
    <definedName localSheetId="2" name="AWSDiskIOPS">Custom!$C$19</definedName>
    <definedName name="MB">Miscellaneous!$C$27</definedName>
    <definedName name="PeakObjRPS2">Workload!$D$22</definedName>
    <definedName name="PeakDiskWriteIOPS1">Workload!$C$88</definedName>
    <definedName name="PIFillFactor">Miscellaneous!$C$14</definedName>
    <definedName name="SIReadIOPerWrite3">Workload!$E$80</definedName>
    <definedName name="PeakDiskReadThroughput5">Workload!$G$86</definedName>
    <definedName name="SIEntries5">Workload!$G$46</definedName>
    <definedName name="PISizeOnDisk5">Workload!$G$44</definedName>
  </definedNames>
  <calcPr/>
</workbook>
</file>

<file path=xl/sharedStrings.xml><?xml version="1.0" encoding="utf-8"?>
<sst xmlns="http://schemas.openxmlformats.org/spreadsheetml/2006/main" count="3282" uniqueCount="1351">
  <si>
    <t>How to: Aerospike Sizing Estimator</t>
  </si>
  <si>
    <t>Workload Specification</t>
  </si>
  <si>
    <t>Use Cases</t>
  </si>
  <si>
    <t>One</t>
  </si>
  <si>
    <t>Two</t>
  </si>
  <si>
    <t>Three</t>
  </si>
  <si>
    <t>Four</t>
  </si>
  <si>
    <t>Five</t>
  </si>
  <si>
    <t>Resilience</t>
  </si>
  <si>
    <t xml:space="preserve">Replication Factor </t>
  </si>
  <si>
    <t>Domain Model Specification</t>
  </si>
  <si>
    <t>Average Object size (B)</t>
  </si>
  <si>
    <t>Object Count</t>
  </si>
  <si>
    <t>Data Model Specification</t>
  </si>
  <si>
    <t>Average Number of Objects per Record</t>
  </si>
  <si>
    <t>Compression Reduction</t>
  </si>
  <si>
    <t>Secondary Index Specification</t>
  </si>
  <si>
    <t>Number of Secondary Indexes</t>
  </si>
  <si>
    <t>Average SI Entry Per Object</t>
  </si>
  <si>
    <t>Peak SI Query</t>
  </si>
  <si>
    <t>Read Throughput Specification</t>
  </si>
  <si>
    <t>Not Found Rate</t>
  </si>
  <si>
    <t>Page Cache Hit Rate</t>
  </si>
  <si>
    <t>Average Reads Per Second</t>
  </si>
  <si>
    <t>Peak Reads Per Second</t>
  </si>
  <si>
    <t>Write Throughput Specification</t>
  </si>
  <si>
    <t>Average Writes Per Second</t>
  </si>
  <si>
    <t>Peak Writes Per Second</t>
  </si>
  <si>
    <t>Storage Specification</t>
  </si>
  <si>
    <t>Primary Index Storage</t>
  </si>
  <si>
    <t>Ram</t>
  </si>
  <si>
    <t>Secondary Index Storage</t>
  </si>
  <si>
    <t>Data Storage</t>
  </si>
  <si>
    <t>Disk</t>
  </si>
  <si>
    <t>SI On Disk</t>
  </si>
  <si>
    <t xml:space="preserve">Cached Levels of SI on Disk BTree </t>
  </si>
  <si>
    <t>Resource Size Estimation</t>
  </si>
  <si>
    <t>Data Model Detail</t>
  </si>
  <si>
    <t>Average Record Size (B)</t>
  </si>
  <si>
    <t>Unique Data Size (GB)</t>
  </si>
  <si>
    <t>Record Count (M)</t>
  </si>
  <si>
    <r>
      <rPr>
        <rFont val="Arial"/>
        <color theme="1"/>
      </rPr>
      <t xml:space="preserve">Primary Index Detail                                 </t>
    </r>
    <r>
      <rPr>
        <rFont val="Arial"/>
        <color theme="1"/>
        <sz val="8.0"/>
      </rPr>
      <t>(Replication Factor Not Included)</t>
    </r>
  </si>
  <si>
    <t>Primary index Size In Ram (GB)</t>
  </si>
  <si>
    <t>Sprigs Required Per Partition</t>
  </si>
  <si>
    <t>Primary index Size On Disk (GB)</t>
  </si>
  <si>
    <r>
      <rPr>
        <rFont val="Arial"/>
        <color theme="1"/>
      </rPr>
      <t xml:space="preserve">Secondary Index Detail                            </t>
    </r>
    <r>
      <rPr>
        <rFont val="Arial"/>
        <color theme="1"/>
        <sz val="8.0"/>
      </rPr>
      <t>(Replication Factor Not Included)</t>
    </r>
  </si>
  <si>
    <t>Average Number of Entries in Each SI</t>
  </si>
  <si>
    <t>Each Secondary Index Size (GB)</t>
  </si>
  <si>
    <t>Total Secondary Index Size (GB)</t>
  </si>
  <si>
    <t>SI on Disk BTree Depth</t>
  </si>
  <si>
    <r>
      <rPr>
        <rFont val="Arial"/>
        <color theme="1"/>
      </rPr>
      <t xml:space="preserve">Data Detail                                  </t>
    </r>
    <r>
      <rPr>
        <rFont val="Arial"/>
        <color theme="1"/>
        <sz val="9.0"/>
      </rPr>
      <t xml:space="preserve">   </t>
    </r>
    <r>
      <rPr>
        <rFont val="Arial"/>
        <color theme="1"/>
      </rPr>
      <t xml:space="preserve">           </t>
    </r>
    <r>
      <rPr>
        <rFont val="Arial"/>
        <color theme="1"/>
        <sz val="8.0"/>
      </rPr>
      <t>(Replication Factor Not Included)</t>
    </r>
  </si>
  <si>
    <t>Data Size with Overheads (GB)</t>
  </si>
  <si>
    <t>Workload Data Size</t>
  </si>
  <si>
    <t>Other Overheads</t>
  </si>
  <si>
    <t>Defrag Overhead</t>
  </si>
  <si>
    <t>Memory Utilisation</t>
  </si>
  <si>
    <t>Disk Utilisation</t>
  </si>
  <si>
    <t>Minimum Hardware Requirements With RF</t>
  </si>
  <si>
    <t>Minimum Ram Required (GB)</t>
  </si>
  <si>
    <t>Minimum Disk Required (GB)</t>
  </si>
  <si>
    <t>Disk to Ram Ratio</t>
  </si>
  <si>
    <t>Page Cache Size for On-Disk SI (GB)</t>
  </si>
  <si>
    <t>Disk IO Estimation</t>
  </si>
  <si>
    <t>Data on Disk</t>
  </si>
  <si>
    <t>Write I/Os per Write Request</t>
  </si>
  <si>
    <t>Read I/Os per Read Request</t>
  </si>
  <si>
    <t>Primary Index on Disk</t>
  </si>
  <si>
    <t>Write I/Os per PI Insert</t>
  </si>
  <si>
    <t>Read I/Os per PI Insert</t>
  </si>
  <si>
    <t>Read I/Os per PI lookup</t>
  </si>
  <si>
    <t>Secondary Index on Disk</t>
  </si>
  <si>
    <t xml:space="preserve">Write I/Os per SI Insert </t>
  </si>
  <si>
    <t>Read I/Os per SI Insert</t>
  </si>
  <si>
    <t>Read I/Os per SI lookup</t>
  </si>
  <si>
    <t>Throughput</t>
  </si>
  <si>
    <t>Peak Disk Write Throughput (MB)</t>
  </si>
  <si>
    <t>Peak Disk Read Throughput (MB)</t>
  </si>
  <si>
    <t>IOPS</t>
  </si>
  <si>
    <t>Peak Disk Write IOPS (K)</t>
  </si>
  <si>
    <t>Peak Disk Read IOPS (K)</t>
  </si>
  <si>
    <t>Total IO Requirements</t>
  </si>
  <si>
    <t>Instance Resources</t>
  </si>
  <si>
    <t>EC2 Family</t>
  </si>
  <si>
    <t>Lower Bound $</t>
  </si>
  <si>
    <t>Disk To Ram Ratio</t>
  </si>
  <si>
    <t>EC2 Instance Types (Prices are for the us-east-1 region)</t>
  </si>
  <si>
    <t>Resiliency Target</t>
  </si>
  <si>
    <t>Rack/AZ</t>
  </si>
  <si>
    <t>Number of vCPUs</t>
  </si>
  <si>
    <t>a1</t>
  </si>
  <si>
    <t>Family</t>
  </si>
  <si>
    <t>Name</t>
  </si>
  <si>
    <t>vCPU</t>
  </si>
  <si>
    <t>Memory (GB)</t>
  </si>
  <si>
    <t>Storage (GB)</t>
  </si>
  <si>
    <t>Number Of Disks</t>
  </si>
  <si>
    <t>Network Bandwidth</t>
  </si>
  <si>
    <t>Monthly Reserved rate</t>
  </si>
  <si>
    <t>Tolerated Node Failures Count</t>
  </si>
  <si>
    <t>Ram (GB)</t>
  </si>
  <si>
    <t>i3</t>
  </si>
  <si>
    <t>c3</t>
  </si>
  <si>
    <t>c6gd</t>
  </si>
  <si>
    <t>$a1.Search</t>
  </si>
  <si>
    <t>a1.medium</t>
  </si>
  <si>
    <t>Up to 10 Gigabit</t>
  </si>
  <si>
    <t>Racks or Availability Zones Count</t>
  </si>
  <si>
    <t>Number of Disks</t>
  </si>
  <si>
    <t>i4i</t>
  </si>
  <si>
    <t>c4</t>
  </si>
  <si>
    <t>c6id</t>
  </si>
  <si>
    <t>$a1.</t>
  </si>
  <si>
    <t>a1.large</t>
  </si>
  <si>
    <t>Tolerated AZ/Rack Failures Count</t>
  </si>
  <si>
    <t>Total Disk Size (GB)</t>
  </si>
  <si>
    <t>i8g</t>
  </si>
  <si>
    <t>c5</t>
  </si>
  <si>
    <t>c7gd</t>
  </si>
  <si>
    <t>a1.xlarge</t>
  </si>
  <si>
    <t>Allow Read from Nearest Rack/AZ</t>
  </si>
  <si>
    <t>Throughput per Disk (MB/s)</t>
  </si>
  <si>
    <t>i7i</t>
  </si>
  <si>
    <t>c5a</t>
  </si>
  <si>
    <t>c8gd</t>
  </si>
  <si>
    <t>a1.2xlarge</t>
  </si>
  <si>
    <t>IOPS per Disk (K)</t>
  </si>
  <si>
    <t>i3en</t>
  </si>
  <si>
    <t>c5ad</t>
  </si>
  <si>
    <t>i4g</t>
  </si>
  <si>
    <t>a1.4xlarge</t>
  </si>
  <si>
    <t>EC2 Specification</t>
  </si>
  <si>
    <t>Total IOPS (K)</t>
  </si>
  <si>
    <t>i7ie</t>
  </si>
  <si>
    <t>c5d</t>
  </si>
  <si>
    <t>$c3.</t>
  </si>
  <si>
    <t>c3.large</t>
  </si>
  <si>
    <t>Moderate</t>
  </si>
  <si>
    <t>Instance Type</t>
  </si>
  <si>
    <t>m3.medium</t>
  </si>
  <si>
    <t>Total Throughput (MB/s)</t>
  </si>
  <si>
    <t>c5n</t>
  </si>
  <si>
    <t>c3.xlarge</t>
  </si>
  <si>
    <t>Number of Instances</t>
  </si>
  <si>
    <t>im4gn</t>
  </si>
  <si>
    <t>c6a</t>
  </si>
  <si>
    <t>$c3.Search</t>
  </si>
  <si>
    <t>c3.2xlarge</t>
  </si>
  <si>
    <t>High</t>
  </si>
  <si>
    <t>Disk Overprovisioning</t>
  </si>
  <si>
    <t>m6gd</t>
  </si>
  <si>
    <t>c6g</t>
  </si>
  <si>
    <t>g5</t>
  </si>
  <si>
    <t>c3.4xlarge</t>
  </si>
  <si>
    <t>c3.8xlarge</t>
  </si>
  <si>
    <t>10 Gigabit</t>
  </si>
  <si>
    <t>Additional Resources Required for Resiliency</t>
  </si>
  <si>
    <t>is4gen</t>
  </si>
  <si>
    <t>c6gn</t>
  </si>
  <si>
    <t>$c4.Search</t>
  </si>
  <si>
    <t>c4.large</t>
  </si>
  <si>
    <t>Multiplier</t>
  </si>
  <si>
    <t>c6i</t>
  </si>
  <si>
    <t>m6id</t>
  </si>
  <si>
    <t>$c4.</t>
  </si>
  <si>
    <t>c4.xlarge</t>
  </si>
  <si>
    <t>m6idn</t>
  </si>
  <si>
    <t>c4.2xlarge</t>
  </si>
  <si>
    <t>Requirements</t>
  </si>
  <si>
    <t>Total Available Hardware Capacity</t>
  </si>
  <si>
    <t>m7gd</t>
  </si>
  <si>
    <t>c6in</t>
  </si>
  <si>
    <t>c4.4xlarge</t>
  </si>
  <si>
    <t>Hardware Requirements</t>
  </si>
  <si>
    <t>Ram and Disk Size</t>
  </si>
  <si>
    <t>r6gd</t>
  </si>
  <si>
    <t>c7a</t>
  </si>
  <si>
    <t>m8gd</t>
  </si>
  <si>
    <t>c4.8xlarge</t>
  </si>
  <si>
    <t>Total RAM (GB)</t>
  </si>
  <si>
    <t>c7g</t>
  </si>
  <si>
    <t>$c5.Search</t>
  </si>
  <si>
    <t>c5.large</t>
  </si>
  <si>
    <t>Total DISK (GB)</t>
  </si>
  <si>
    <t>$c5.</t>
  </si>
  <si>
    <t>c5.xlarge</t>
  </si>
  <si>
    <t>r7gd</t>
  </si>
  <si>
    <t>c7gn</t>
  </si>
  <si>
    <t>g4ad</t>
  </si>
  <si>
    <t>c5.2xlarge</t>
  </si>
  <si>
    <t>Throughput and IOPS</t>
  </si>
  <si>
    <t>c7i-flex</t>
  </si>
  <si>
    <t>m5ad</t>
  </si>
  <si>
    <t>c5.4xlarge</t>
  </si>
  <si>
    <t>Peak Throughput (MB/s)</t>
  </si>
  <si>
    <t>r6id</t>
  </si>
  <si>
    <t>c7i</t>
  </si>
  <si>
    <t>m5d</t>
  </si>
  <si>
    <t>c5.9xlarge</t>
  </si>
  <si>
    <t>12 Gigabit</t>
  </si>
  <si>
    <t>Peak IOPS (K)</t>
  </si>
  <si>
    <t>Estimated IOPS (K)</t>
  </si>
  <si>
    <t>r8gd</t>
  </si>
  <si>
    <t>c8g</t>
  </si>
  <si>
    <t>m5dn</t>
  </si>
  <si>
    <t>c5.12xlarge</t>
  </si>
  <si>
    <t>Cache Size</t>
  </si>
  <si>
    <t>Other</t>
  </si>
  <si>
    <t>c5.18xlarge</t>
  </si>
  <si>
    <t>25 Gigabit</t>
  </si>
  <si>
    <t>Number of CPUs</t>
  </si>
  <si>
    <t>x2gd</t>
  </si>
  <si>
    <t>c5.24xlarge</t>
  </si>
  <si>
    <t>g4dn</t>
  </si>
  <si>
    <t>r6idn</t>
  </si>
  <si>
    <t>$c5a.Search</t>
  </si>
  <si>
    <t>c5a.large</t>
  </si>
  <si>
    <t>AWS Networking</t>
  </si>
  <si>
    <t>$c5a.</t>
  </si>
  <si>
    <t>c5a.xlarge</t>
  </si>
  <si>
    <t>Between AZ Egress</t>
  </si>
  <si>
    <t>g5g</t>
  </si>
  <si>
    <t>c5a.2xlarge</t>
  </si>
  <si>
    <t>Write Request Egress Size(GB)</t>
  </si>
  <si>
    <t>g6</t>
  </si>
  <si>
    <t>c5a.4xlarge</t>
  </si>
  <si>
    <t>Write Replication Egress Size (GB)</t>
  </si>
  <si>
    <t>r5ad</t>
  </si>
  <si>
    <t>g6e</t>
  </si>
  <si>
    <t>m3</t>
  </si>
  <si>
    <t>c5a.8xlarge</t>
  </si>
  <si>
    <t>Read Request Egress Size (GB)</t>
  </si>
  <si>
    <t>gr6</t>
  </si>
  <si>
    <t>c5a.12xlarge</t>
  </si>
  <si>
    <t>Cost</t>
  </si>
  <si>
    <t>hpc7g</t>
  </si>
  <si>
    <t>c5a.16xlarge</t>
  </si>
  <si>
    <t>20 Gigabit</t>
  </si>
  <si>
    <t>AZ Data Transfer Cost Per GB</t>
  </si>
  <si>
    <t>r5d</t>
  </si>
  <si>
    <t>c5a.24xlarge</t>
  </si>
  <si>
    <t>Annual Write Egress Cost</t>
  </si>
  <si>
    <t>r5dn</t>
  </si>
  <si>
    <t>$c5ad.</t>
  </si>
  <si>
    <t>c5ad.large</t>
  </si>
  <si>
    <t>Annual Read Egress Cost</t>
  </si>
  <si>
    <t>z1d</t>
  </si>
  <si>
    <t>c5ad.xlarge</t>
  </si>
  <si>
    <t>c5ad.2xlarge</t>
  </si>
  <si>
    <t>Summary</t>
  </si>
  <si>
    <t>c5ad.4xlarge</t>
  </si>
  <si>
    <t>Unique Data size (GB)</t>
  </si>
  <si>
    <t>$c5ad.Search</t>
  </si>
  <si>
    <t>c5ad.8xlarge</t>
  </si>
  <si>
    <t>Infrastructure</t>
  </si>
  <si>
    <t>r3</t>
  </si>
  <si>
    <t>c5ad.12xlarge</t>
  </si>
  <si>
    <t>Monthly</t>
  </si>
  <si>
    <t>x2idn</t>
  </si>
  <si>
    <t>x1</t>
  </si>
  <si>
    <t>c5ad.16xlarge</t>
  </si>
  <si>
    <t>Annual</t>
  </si>
  <si>
    <t>inf1</t>
  </si>
  <si>
    <t>c5ad.24xlarge</t>
  </si>
  <si>
    <t>Networking</t>
  </si>
  <si>
    <t>inf2</t>
  </si>
  <si>
    <t>x1e</t>
  </si>
  <si>
    <t>$c5d.</t>
  </si>
  <si>
    <t>c5d.large</t>
  </si>
  <si>
    <t>x2iedn</t>
  </si>
  <si>
    <t>c5d.xlarge</t>
  </si>
  <si>
    <t>c5d.2xlarge</t>
  </si>
  <si>
    <t>Total</t>
  </si>
  <si>
    <t>m4</t>
  </si>
  <si>
    <t>c5d.4xlarge</t>
  </si>
  <si>
    <t>m5</t>
  </si>
  <si>
    <t>$c5d.Search</t>
  </si>
  <si>
    <t>c5d.9xlarge</t>
  </si>
  <si>
    <t>m5a</t>
  </si>
  <si>
    <t>c5d.12xlarge</t>
  </si>
  <si>
    <t>N/A</t>
  </si>
  <si>
    <t>c5d.18xlarge</t>
  </si>
  <si>
    <t>c5d.24xlarge</t>
  </si>
  <si>
    <t>$c5n.Search</t>
  </si>
  <si>
    <t>c5n.large</t>
  </si>
  <si>
    <t>Up to 25 Gigabit</t>
  </si>
  <si>
    <t>m5n</t>
  </si>
  <si>
    <t>$c5n.</t>
  </si>
  <si>
    <t>c5n.xlarge</t>
  </si>
  <si>
    <t>m5zn</t>
  </si>
  <si>
    <t>c5n.2xlarge</t>
  </si>
  <si>
    <t>m6a</t>
  </si>
  <si>
    <t>c5n.4xlarge</t>
  </si>
  <si>
    <t>m6g</t>
  </si>
  <si>
    <t>c5n.9xlarge</t>
  </si>
  <si>
    <t>50 Gigabit</t>
  </si>
  <si>
    <t>c5n.18xlarge</t>
  </si>
  <si>
    <t>100 Gigabit</t>
  </si>
  <si>
    <t>m6i</t>
  </si>
  <si>
    <t>$c6a.Search</t>
  </si>
  <si>
    <t>c6a.large</t>
  </si>
  <si>
    <t>Up to 12.5 Gigabit</t>
  </si>
  <si>
    <t>$c6a.</t>
  </si>
  <si>
    <t>c6a.xlarge</t>
  </si>
  <si>
    <t>c6a.2xlarge</t>
  </si>
  <si>
    <t>m6in</t>
  </si>
  <si>
    <t>c6a.4xlarge</t>
  </si>
  <si>
    <t>m7a</t>
  </si>
  <si>
    <t>c6a.8xlarge</t>
  </si>
  <si>
    <t>12.5 Gigabit</t>
  </si>
  <si>
    <t>m7g</t>
  </si>
  <si>
    <t>c6a.12xlarge</t>
  </si>
  <si>
    <t>18.75 Gigabit</t>
  </si>
  <si>
    <t>c6a.16xlarge</t>
  </si>
  <si>
    <t>m7i-flex</t>
  </si>
  <si>
    <t>c6a.24xlarge</t>
  </si>
  <si>
    <t>37.5 Gigabit</t>
  </si>
  <si>
    <t>m7i</t>
  </si>
  <si>
    <t>c6a.32xlarge</t>
  </si>
  <si>
    <t>m8g</t>
  </si>
  <si>
    <t>c6a.48xlarge</t>
  </si>
  <si>
    <t>$c6g.Search</t>
  </si>
  <si>
    <t>c6g.medium</t>
  </si>
  <si>
    <t>$c6g.</t>
  </si>
  <si>
    <t>c6g.large</t>
  </si>
  <si>
    <t>r4</t>
  </si>
  <si>
    <t>c6g.xlarge</t>
  </si>
  <si>
    <t>r5</t>
  </si>
  <si>
    <t>c6g.2xlarge</t>
  </si>
  <si>
    <t>r5a</t>
  </si>
  <si>
    <t>c6g.4xlarge</t>
  </si>
  <si>
    <t>c6g.8xlarge</t>
  </si>
  <si>
    <t>r5b</t>
  </si>
  <si>
    <t>c6g.12xlarge</t>
  </si>
  <si>
    <t>c6g.16xlarge</t>
  </si>
  <si>
    <t>$c6gd.</t>
  </si>
  <si>
    <t>c6gd.medium</t>
  </si>
  <si>
    <t>r5n</t>
  </si>
  <si>
    <t>c6gd.large</t>
  </si>
  <si>
    <t>r6a</t>
  </si>
  <si>
    <t>c6gd.xlarge</t>
  </si>
  <si>
    <t>r6g</t>
  </si>
  <si>
    <t>c6gd.2xlarge</t>
  </si>
  <si>
    <t>$c6gd.Search</t>
  </si>
  <si>
    <t>c6gd.4xlarge</t>
  </si>
  <si>
    <t>r6i</t>
  </si>
  <si>
    <t>c6gd.8xlarge</t>
  </si>
  <si>
    <t>c6gd.12xlarge</t>
  </si>
  <si>
    <t>c6gd.16xlarge</t>
  </si>
  <si>
    <t>r6in</t>
  </si>
  <si>
    <t>$c6gn.Search</t>
  </si>
  <si>
    <t>c6gn.medium</t>
  </si>
  <si>
    <t>Up to 16 Gigabit</t>
  </si>
  <si>
    <t>r7a</t>
  </si>
  <si>
    <t>$c6gn.</t>
  </si>
  <si>
    <t>c6gn.large</t>
  </si>
  <si>
    <t>r7g</t>
  </si>
  <si>
    <t>c6gn.xlarge</t>
  </si>
  <si>
    <t>c6gn.2xlarge</t>
  </si>
  <si>
    <t>r7i</t>
  </si>
  <si>
    <t>c6gn.4xlarge</t>
  </si>
  <si>
    <t>r7iz</t>
  </si>
  <si>
    <t>c6gn.8xlarge</t>
  </si>
  <si>
    <t>r8g</t>
  </si>
  <si>
    <t>c6gn.12xlarge</t>
  </si>
  <si>
    <t>75 Gigabit</t>
  </si>
  <si>
    <t>c6gn.16xlarge</t>
  </si>
  <si>
    <t>t1</t>
  </si>
  <si>
    <t>$c6i.Search</t>
  </si>
  <si>
    <t>c6i.large</t>
  </si>
  <si>
    <t>t2</t>
  </si>
  <si>
    <t>$c6i.</t>
  </si>
  <si>
    <t>c6i.xlarge</t>
  </si>
  <si>
    <t>t3</t>
  </si>
  <si>
    <t>c6i.2xlarge</t>
  </si>
  <si>
    <t>t3a</t>
  </si>
  <si>
    <t>c6i.4xlarge</t>
  </si>
  <si>
    <t>t4g</t>
  </si>
  <si>
    <t>c6i.8xlarge</t>
  </si>
  <si>
    <t>u-12tb1</t>
  </si>
  <si>
    <t>c6i.12xlarge</t>
  </si>
  <si>
    <t>u-18tb1</t>
  </si>
  <si>
    <t>c6i.16xlarge</t>
  </si>
  <si>
    <t>u-24tb1</t>
  </si>
  <si>
    <t>c6i.24xlarge</t>
  </si>
  <si>
    <t>u-3tb1</t>
  </si>
  <si>
    <t>c6i.32xlarge</t>
  </si>
  <si>
    <t>u-6tb1</t>
  </si>
  <si>
    <t>$c6id.</t>
  </si>
  <si>
    <t>c6id.large</t>
  </si>
  <si>
    <t>u-9tb1</t>
  </si>
  <si>
    <t>c6id.xlarge</t>
  </si>
  <si>
    <t>u7i-12tb</t>
  </si>
  <si>
    <t>c6id.2xlarge</t>
  </si>
  <si>
    <t>u7in-16tb</t>
  </si>
  <si>
    <t>$c6id.Search</t>
  </si>
  <si>
    <t>c6id.4xlarge</t>
  </si>
  <si>
    <t>u7in-24tb</t>
  </si>
  <si>
    <t>c6id.8xlarge</t>
  </si>
  <si>
    <t>u7in-32tb</t>
  </si>
  <si>
    <t>c6id.12xlarge</t>
  </si>
  <si>
    <t>vt1</t>
  </si>
  <si>
    <t>c6id.16xlarge</t>
  </si>
  <si>
    <t>c6id.24xlarge</t>
  </si>
  <si>
    <t>c6id.32xlarge</t>
  </si>
  <si>
    <t>$c6in.Search</t>
  </si>
  <si>
    <t>c6in.large</t>
  </si>
  <si>
    <t>$c6in.</t>
  </si>
  <si>
    <t>c6in.xlarge</t>
  </si>
  <si>
    <t>Up to 30 Gigabit</t>
  </si>
  <si>
    <t>c6in.2xlarge</t>
  </si>
  <si>
    <t>Up to 40 Gigabit</t>
  </si>
  <si>
    <t>x2iezn</t>
  </si>
  <si>
    <t>c6in.4xlarge</t>
  </si>
  <si>
    <t>Up to 50 Gigabit</t>
  </si>
  <si>
    <t>x8g</t>
  </si>
  <si>
    <t>c6in.8xlarge</t>
  </si>
  <si>
    <t>c6in.12xlarge</t>
  </si>
  <si>
    <t>c6in.16xlarge</t>
  </si>
  <si>
    <t>c6in.24xlarge</t>
  </si>
  <si>
    <t>150 Gigabit</t>
  </si>
  <si>
    <t>c6in.32xlarge</t>
  </si>
  <si>
    <t>200 Gigabit</t>
  </si>
  <si>
    <t>$c7a.Search</t>
  </si>
  <si>
    <t>c7a.medium</t>
  </si>
  <si>
    <t>$c7a.</t>
  </si>
  <si>
    <t>c7a.large</t>
  </si>
  <si>
    <t>c7a.xlarge</t>
  </si>
  <si>
    <t>c7a.2xlarge</t>
  </si>
  <si>
    <t>c7a.4xlarge</t>
  </si>
  <si>
    <t>c7a.8xlarge</t>
  </si>
  <si>
    <t>c7a.12xlarge</t>
  </si>
  <si>
    <t>c7a.16xlarge</t>
  </si>
  <si>
    <t>c7a.24xlarge</t>
  </si>
  <si>
    <t>c7a.32xlarge</t>
  </si>
  <si>
    <t>c7a.48xlarge</t>
  </si>
  <si>
    <t>$c7g.Search</t>
  </si>
  <si>
    <t>c7g.medium</t>
  </si>
  <si>
    <t>$c7g.</t>
  </si>
  <si>
    <t>c7g.large</t>
  </si>
  <si>
    <t>c7g.xlarge</t>
  </si>
  <si>
    <t>c7g.2xlarge</t>
  </si>
  <si>
    <t>Up to 15 Gigabit</t>
  </si>
  <si>
    <t>c7g.4xlarge</t>
  </si>
  <si>
    <t>c7g.8xlarge</t>
  </si>
  <si>
    <t>15 Gigabit</t>
  </si>
  <si>
    <t>c7g.12xlarge</t>
  </si>
  <si>
    <t>22.5 Gigabit</t>
  </si>
  <si>
    <t>c7g.16xlarge</t>
  </si>
  <si>
    <t>30 Gigabit</t>
  </si>
  <si>
    <t>$c7gd.</t>
  </si>
  <si>
    <t>c7gd.medium</t>
  </si>
  <si>
    <t>c7gd.large</t>
  </si>
  <si>
    <t>c7gd.xlarge</t>
  </si>
  <si>
    <t>c7gd.2xlarge</t>
  </si>
  <si>
    <t>$c7gd.Search</t>
  </si>
  <si>
    <t>c7gd.4xlarge</t>
  </si>
  <si>
    <t>c7gd.8xlarge</t>
  </si>
  <si>
    <t>c7gd.12xlarge</t>
  </si>
  <si>
    <t>c7gd.16xlarge</t>
  </si>
  <si>
    <t>$c7gn.Search</t>
  </si>
  <si>
    <t>c7gn.medium</t>
  </si>
  <si>
    <t>$c7gn.</t>
  </si>
  <si>
    <t>c7gn.large</t>
  </si>
  <si>
    <t>c7gn.xlarge</t>
  </si>
  <si>
    <t>c7gn.2xlarge</t>
  </si>
  <si>
    <t>c7gn.4xlarge</t>
  </si>
  <si>
    <t>c7gn.8xlarge</t>
  </si>
  <si>
    <t>c7gn.12xlarge</t>
  </si>
  <si>
    <t>c7gn.16xlarge</t>
  </si>
  <si>
    <t>$c7i-flex.Search</t>
  </si>
  <si>
    <t>c7i-flex.large</t>
  </si>
  <si>
    <t>$c7i-flex.</t>
  </si>
  <si>
    <t>c7i-flex.xlarge</t>
  </si>
  <si>
    <t>c7i-flex.2xlarge</t>
  </si>
  <si>
    <t>c7i-flex.4xlarge</t>
  </si>
  <si>
    <t>c7i-flex.8xlarge</t>
  </si>
  <si>
    <t>c7i-flex.12xlarge</t>
  </si>
  <si>
    <t>Up to 18.75 Gigabit</t>
  </si>
  <si>
    <t>c7i-flex.16xlarge</t>
  </si>
  <si>
    <t>$c7i.Search</t>
  </si>
  <si>
    <t>c7i.large</t>
  </si>
  <si>
    <t>$c7i.</t>
  </si>
  <si>
    <t>c7i.xlarge</t>
  </si>
  <si>
    <t>c7i.2xlarge</t>
  </si>
  <si>
    <t>c7i.4xlarge</t>
  </si>
  <si>
    <t>c7i.8xlarge</t>
  </si>
  <si>
    <t>c7i.12xlarge</t>
  </si>
  <si>
    <t>c7i.16xlarge</t>
  </si>
  <si>
    <t>c7i.24xlarge</t>
  </si>
  <si>
    <t>c7i.48xlarge</t>
  </si>
  <si>
    <t>$c8g.Search</t>
  </si>
  <si>
    <t>c8g.medium</t>
  </si>
  <si>
    <t>$c8g.</t>
  </si>
  <si>
    <t>c8g.large</t>
  </si>
  <si>
    <t>c8g.xlarge</t>
  </si>
  <si>
    <t>c8g.2xlarge</t>
  </si>
  <si>
    <t>c8g.4xlarge</t>
  </si>
  <si>
    <t>c8g.8xlarge</t>
  </si>
  <si>
    <t>c8g.12xlarge</t>
  </si>
  <si>
    <t>c8g.16xlarge</t>
  </si>
  <si>
    <t>c8g.24xlarge</t>
  </si>
  <si>
    <t>40 Gigabit</t>
  </si>
  <si>
    <t>c8g.48xlarge</t>
  </si>
  <si>
    <t>$c8gd.</t>
  </si>
  <si>
    <t>c8gd.medium</t>
  </si>
  <si>
    <t>c8gd.large</t>
  </si>
  <si>
    <t>c8gd.xlarge</t>
  </si>
  <si>
    <t>c8gd.2xlarge</t>
  </si>
  <si>
    <t>$c8gd.Search</t>
  </si>
  <si>
    <t>c8gd.4xlarge</t>
  </si>
  <si>
    <t>c8gd.8xlarge</t>
  </si>
  <si>
    <t>c8gd.12xlarge</t>
  </si>
  <si>
    <t>c8gd.16xlarge</t>
  </si>
  <si>
    <t>c8gd.24xlarge</t>
  </si>
  <si>
    <t>c8gd.48xlarge</t>
  </si>
  <si>
    <t>$g4ad.</t>
  </si>
  <si>
    <t>g4ad.xlarge</t>
  </si>
  <si>
    <t>g4ad.2xlarge</t>
  </si>
  <si>
    <t>$g4ad.Search</t>
  </si>
  <si>
    <t>g4ad.4xlarge</t>
  </si>
  <si>
    <t>g4ad.8xlarge</t>
  </si>
  <si>
    <t>g4ad.16xlarge</t>
  </si>
  <si>
    <t>$g4dn.</t>
  </si>
  <si>
    <t>g4dn.xlarge</t>
  </si>
  <si>
    <t>g4dn.2xlarge</t>
  </si>
  <si>
    <t>$g4dn.Search</t>
  </si>
  <si>
    <t>g4dn.4xlarge</t>
  </si>
  <si>
    <t>g4dn.8xlarge</t>
  </si>
  <si>
    <t>g4dn.12xlarge</t>
  </si>
  <si>
    <t>g4dn.16xlarge</t>
  </si>
  <si>
    <t>$g5.</t>
  </si>
  <si>
    <t>g5.xlarge</t>
  </si>
  <si>
    <t>g5.2xlarge</t>
  </si>
  <si>
    <t>g5.4xlarge</t>
  </si>
  <si>
    <t>g5.8xlarge</t>
  </si>
  <si>
    <t>$g5.Search</t>
  </si>
  <si>
    <t>g5.12xlarge</t>
  </si>
  <si>
    <t>g5.16xlarge</t>
  </si>
  <si>
    <t>g5.24xlarge</t>
  </si>
  <si>
    <t>g5.48xlarge</t>
  </si>
  <si>
    <t>$g5g.Search</t>
  </si>
  <si>
    <t>g5g.xlarge</t>
  </si>
  <si>
    <t>$g5g.</t>
  </si>
  <si>
    <t>g5g.2xlarge</t>
  </si>
  <si>
    <t>g5g.4xlarge</t>
  </si>
  <si>
    <t>g5g.8xlarge</t>
  </si>
  <si>
    <t>g5g.16xlarge</t>
  </si>
  <si>
    <t>$g6.</t>
  </si>
  <si>
    <t>g6.xlarge</t>
  </si>
  <si>
    <t>g6.2xlarge</t>
  </si>
  <si>
    <t>g6.4xlarge</t>
  </si>
  <si>
    <t>$g6.Search</t>
  </si>
  <si>
    <t>g6.8xlarge</t>
  </si>
  <si>
    <t>g6.12xlarge</t>
  </si>
  <si>
    <t>g6.16xlarge</t>
  </si>
  <si>
    <t>g6.24xlarge</t>
  </si>
  <si>
    <t>g6.48xlarge</t>
  </si>
  <si>
    <t>$g6e.</t>
  </si>
  <si>
    <t>g6e.xlarge</t>
  </si>
  <si>
    <t>Up to 20 Gigabit</t>
  </si>
  <si>
    <t>g6e.2xlarge</t>
  </si>
  <si>
    <t>g6e.4xlarge</t>
  </si>
  <si>
    <t>$g6e.Search</t>
  </si>
  <si>
    <t>g6e.8xlarge</t>
  </si>
  <si>
    <t>g6e.12xlarge</t>
  </si>
  <si>
    <t>g6e.16xlarge</t>
  </si>
  <si>
    <t>35 Gigabit</t>
  </si>
  <si>
    <t>g6e.24xlarge</t>
  </si>
  <si>
    <t>g6e.48xlarge</t>
  </si>
  <si>
    <t>400 Gigabit</t>
  </si>
  <si>
    <t>$gr6.Search</t>
  </si>
  <si>
    <t>gr6.4xlarge</t>
  </si>
  <si>
    <t>$gr6.</t>
  </si>
  <si>
    <t>gr6.8xlarge</t>
  </si>
  <si>
    <t>$hpc7g.Search</t>
  </si>
  <si>
    <t>hpc7g.4xlarge</t>
  </si>
  <si>
    <t>$hpc7g.</t>
  </si>
  <si>
    <t>hpc7g.8xlarge</t>
  </si>
  <si>
    <t>hpc7g.16xlarge</t>
  </si>
  <si>
    <t>$i3.</t>
  </si>
  <si>
    <t>i3.large</t>
  </si>
  <si>
    <t>$i3.Search</t>
  </si>
  <si>
    <t>i3.xlarge</t>
  </si>
  <si>
    <t>i3.2xlarge</t>
  </si>
  <si>
    <t>i3.4xlarge</t>
  </si>
  <si>
    <t>i3.8xlarge</t>
  </si>
  <si>
    <t>i3.16xlarge</t>
  </si>
  <si>
    <t>$i3en.</t>
  </si>
  <si>
    <t>i3en.large</t>
  </si>
  <si>
    <t>$i3en.Search</t>
  </si>
  <si>
    <t>i3en.xlarge</t>
  </si>
  <si>
    <t>i3en.2xlarge</t>
  </si>
  <si>
    <t>i3en.3xlarge</t>
  </si>
  <si>
    <t>i3en.6xlarge</t>
  </si>
  <si>
    <t>i3en.12xlarge</t>
  </si>
  <si>
    <t>i3en.24xlarge</t>
  </si>
  <si>
    <t>$i4g.</t>
  </si>
  <si>
    <t>i4g.large</t>
  </si>
  <si>
    <t>i4g.xlarge</t>
  </si>
  <si>
    <t>$i4g.Search</t>
  </si>
  <si>
    <t>i4g.2xlarge</t>
  </si>
  <si>
    <t>Up to 12 Gigabit</t>
  </si>
  <si>
    <t>i4g.4xlarge</t>
  </si>
  <si>
    <t>i4g.8xlarge</t>
  </si>
  <si>
    <t>i4g.16xlarge</t>
  </si>
  <si>
    <t>$i4i.</t>
  </si>
  <si>
    <t>i4i.large</t>
  </si>
  <si>
    <t>i4i.xlarge</t>
  </si>
  <si>
    <t>$i4i.Search</t>
  </si>
  <si>
    <t>i4i.2xlarge</t>
  </si>
  <si>
    <t>i4i.4xlarge</t>
  </si>
  <si>
    <t>i4i.8xlarge</t>
  </si>
  <si>
    <t>i4i.12xlarge</t>
  </si>
  <si>
    <t>28.12 Gigabit</t>
  </si>
  <si>
    <t>i4i.16xlarge</t>
  </si>
  <si>
    <t>i4i.24xlarge</t>
  </si>
  <si>
    <t>56.25 Gigabit</t>
  </si>
  <si>
    <t>i4i.32xlarge</t>
  </si>
  <si>
    <t>$i7i.</t>
  </si>
  <si>
    <t>i7i.large</t>
  </si>
  <si>
    <t>i7i.xlarge</t>
  </si>
  <si>
    <t>$i7i.Search</t>
  </si>
  <si>
    <t>i7i.2xlarge</t>
  </si>
  <si>
    <t>i7i.4xlarge</t>
  </si>
  <si>
    <t>i7i.8xlarge</t>
  </si>
  <si>
    <t>i7i.12xlarge</t>
  </si>
  <si>
    <t>Up to 28 Gigabit</t>
  </si>
  <si>
    <t>i7i.16xlarge</t>
  </si>
  <si>
    <t>Up to 37.5 Gigabit</t>
  </si>
  <si>
    <t>i7i.24xlarge</t>
  </si>
  <si>
    <t>Up to 56.25 Gigabit</t>
  </si>
  <si>
    <t>i7i.48xlarge</t>
  </si>
  <si>
    <t>Up to 100 Gigabit</t>
  </si>
  <si>
    <t>$i7ie.</t>
  </si>
  <si>
    <t>i7ie.large</t>
  </si>
  <si>
    <t>$i7ie.Search</t>
  </si>
  <si>
    <t>i7ie.xlarge</t>
  </si>
  <si>
    <t>i7ie.2xlarge</t>
  </si>
  <si>
    <t>i7ie.3xlarge</t>
  </si>
  <si>
    <t>i7ie.6xlarge</t>
  </si>
  <si>
    <t>i7ie.12xlarge</t>
  </si>
  <si>
    <t>i7ie.18xlarge</t>
  </si>
  <si>
    <t>Up to 75 Gigabit</t>
  </si>
  <si>
    <t>i7ie.24xlarge</t>
  </si>
  <si>
    <t>i7ie.48xlarge</t>
  </si>
  <si>
    <t>$i8g.</t>
  </si>
  <si>
    <t>i8g.large</t>
  </si>
  <si>
    <t>i8g.xlarge</t>
  </si>
  <si>
    <t>$i8g.Search</t>
  </si>
  <si>
    <t>i8g.2xlarge</t>
  </si>
  <si>
    <t>i8g.4xlarge</t>
  </si>
  <si>
    <t>i8g.8xlarge</t>
  </si>
  <si>
    <t>i8g.12xlarge</t>
  </si>
  <si>
    <t>Up to 28.12 Gigabit</t>
  </si>
  <si>
    <t>i8g.16xlarge</t>
  </si>
  <si>
    <t>i8g.24xlarge</t>
  </si>
  <si>
    <t>i8g.48xlarge</t>
  </si>
  <si>
    <t>$im4gn.</t>
  </si>
  <si>
    <t>im4gn.large</t>
  </si>
  <si>
    <t>$im4gn.Search</t>
  </si>
  <si>
    <t>im4gn.xlarge</t>
  </si>
  <si>
    <t>im4gn.2xlarge</t>
  </si>
  <si>
    <t>im4gn.4xlarge</t>
  </si>
  <si>
    <t>im4gn.8xlarge</t>
  </si>
  <si>
    <t>im4gn.16xlarge</t>
  </si>
  <si>
    <t>$inf1.Search</t>
  </si>
  <si>
    <t>inf1.xlarge</t>
  </si>
  <si>
    <t>$inf1.</t>
  </si>
  <si>
    <t>inf1.2xlarge</t>
  </si>
  <si>
    <t>inf1.6xlarge</t>
  </si>
  <si>
    <t>inf1.24xlarge</t>
  </si>
  <si>
    <t>$inf2.Search</t>
  </si>
  <si>
    <t>inf2.xlarge</t>
  </si>
  <si>
    <t>$inf2.</t>
  </si>
  <si>
    <t>inf2.8xlarge</t>
  </si>
  <si>
    <t>inf2.24xlarge</t>
  </si>
  <si>
    <t>inf2.48xlarge</t>
  </si>
  <si>
    <t>$is4gen.</t>
  </si>
  <si>
    <t>is4gen.medium</t>
  </si>
  <si>
    <t>is4gen.large</t>
  </si>
  <si>
    <t>$is4gen.Search</t>
  </si>
  <si>
    <t>is4gen.xlarge</t>
  </si>
  <si>
    <t>is4gen.2xlarge</t>
  </si>
  <si>
    <t>is4gen.4xlarge</t>
  </si>
  <si>
    <t>is4gen.8xlarge</t>
  </si>
  <si>
    <t>$m3.</t>
  </si>
  <si>
    <t>m3.large</t>
  </si>
  <si>
    <t>$m3.Search</t>
  </si>
  <si>
    <t>m3.xlarge</t>
  </si>
  <si>
    <t>m3.2xlarge</t>
  </si>
  <si>
    <t>$m4.Search</t>
  </si>
  <si>
    <t>m4.large</t>
  </si>
  <si>
    <t>$m4.</t>
  </si>
  <si>
    <t>m4.xlarge</t>
  </si>
  <si>
    <t>m4.2xlarge</t>
  </si>
  <si>
    <t>m4.4xlarge</t>
  </si>
  <si>
    <t>m4.10xlarge</t>
  </si>
  <si>
    <t>m4.16xlarge</t>
  </si>
  <si>
    <t>$m5.Search</t>
  </si>
  <si>
    <t>m5.large</t>
  </si>
  <si>
    <t>$m5.</t>
  </si>
  <si>
    <t>m5.xlarge</t>
  </si>
  <si>
    <t>m5.2xlarge</t>
  </si>
  <si>
    <t>m5.4xlarge</t>
  </si>
  <si>
    <t>m5.8xlarge</t>
  </si>
  <si>
    <t>m5.12xlarge</t>
  </si>
  <si>
    <t>m5.16xlarge</t>
  </si>
  <si>
    <t>m5.24xlarge</t>
  </si>
  <si>
    <t>$m5a.Search</t>
  </si>
  <si>
    <t>m5a.large</t>
  </si>
  <si>
    <t>$m5a.</t>
  </si>
  <si>
    <t>m5a.xlarge</t>
  </si>
  <si>
    <t>m5a.2xlarge</t>
  </si>
  <si>
    <t>m5a.4xlarge</t>
  </si>
  <si>
    <t>m5a.8xlarge</t>
  </si>
  <si>
    <t>m5a.12xlarge</t>
  </si>
  <si>
    <t>m5a.16xlarge</t>
  </si>
  <si>
    <t>m5a.24xlarge</t>
  </si>
  <si>
    <t>$m5ad.</t>
  </si>
  <si>
    <t>m5ad.large</t>
  </si>
  <si>
    <t>m5ad.xlarge</t>
  </si>
  <si>
    <t>m5ad.2xlarge</t>
  </si>
  <si>
    <t>$m5ad.Search</t>
  </si>
  <si>
    <t>m5ad.4xlarge</t>
  </si>
  <si>
    <t>m5ad.8xlarge</t>
  </si>
  <si>
    <t>m5ad.12xlarge</t>
  </si>
  <si>
    <t>m5ad.16xlarge</t>
  </si>
  <si>
    <t>m5ad.24xlarge</t>
  </si>
  <si>
    <t>$m5d.</t>
  </si>
  <si>
    <t>m5d.large</t>
  </si>
  <si>
    <t>m5d.xlarge</t>
  </si>
  <si>
    <t>m5d.2xlarge</t>
  </si>
  <si>
    <t>$m5d.Search</t>
  </si>
  <si>
    <t>m5d.4xlarge</t>
  </si>
  <si>
    <t>m5d.8xlarge</t>
  </si>
  <si>
    <t>m5d.12xlarge</t>
  </si>
  <si>
    <t>m5d.16xlarge</t>
  </si>
  <si>
    <t>m5d.24xlarge</t>
  </si>
  <si>
    <t>$m5dn.</t>
  </si>
  <si>
    <t>m5dn.large</t>
  </si>
  <si>
    <t>m5dn.xlarge</t>
  </si>
  <si>
    <t>m5dn.2xlarge</t>
  </si>
  <si>
    <t>$m5dn.Search</t>
  </si>
  <si>
    <t>m5dn.4xlarge</t>
  </si>
  <si>
    <t>m5dn.8xlarge</t>
  </si>
  <si>
    <t>m5dn.12xlarge</t>
  </si>
  <si>
    <t>m5dn.16xlarge</t>
  </si>
  <si>
    <t>m5dn.24xlarge</t>
  </si>
  <si>
    <t>$m5n.Search</t>
  </si>
  <si>
    <t>m5n.large</t>
  </si>
  <si>
    <t>$m5n.</t>
  </si>
  <si>
    <t>m5n.xlarge</t>
  </si>
  <si>
    <t>m5n.2xlarge</t>
  </si>
  <si>
    <t>m5n.4xlarge</t>
  </si>
  <si>
    <t>m5n.8xlarge</t>
  </si>
  <si>
    <t>m5n.12xlarge</t>
  </si>
  <si>
    <t>m5n.16xlarge</t>
  </si>
  <si>
    <t>m5n.24xlarge</t>
  </si>
  <si>
    <t>$m5zn.Search</t>
  </si>
  <si>
    <t>m5zn.large</t>
  </si>
  <si>
    <t>$m5zn.</t>
  </si>
  <si>
    <t>m5zn.xlarge</t>
  </si>
  <si>
    <t>m5zn.2xlarge</t>
  </si>
  <si>
    <t>m5zn.3xlarge</t>
  </si>
  <si>
    <t>m5zn.6xlarge</t>
  </si>
  <si>
    <t>m5zn.12xlarge</t>
  </si>
  <si>
    <t>$m6a.Search</t>
  </si>
  <si>
    <t>m6a.large</t>
  </si>
  <si>
    <t>$m6a.</t>
  </si>
  <si>
    <t>m6a.xlarge</t>
  </si>
  <si>
    <t>m6a.2xlarge</t>
  </si>
  <si>
    <t>m6a.4xlarge</t>
  </si>
  <si>
    <t>m6a.8xlarge</t>
  </si>
  <si>
    <t>m6a.12xlarge</t>
  </si>
  <si>
    <t>m6a.16xlarge</t>
  </si>
  <si>
    <t>m6a.24xlarge</t>
  </si>
  <si>
    <t>m6a.32xlarge</t>
  </si>
  <si>
    <t>m6a.48xlarge</t>
  </si>
  <si>
    <t>$m6g.Search</t>
  </si>
  <si>
    <t>m6g.medium</t>
  </si>
  <si>
    <t>$m6g.</t>
  </si>
  <si>
    <t>m6g.large</t>
  </si>
  <si>
    <t>m6g.xlarge</t>
  </si>
  <si>
    <t>m6g.2xlarge</t>
  </si>
  <si>
    <t>m6g.4xlarge</t>
  </si>
  <si>
    <t>m6g.8xlarge</t>
  </si>
  <si>
    <t>m6g.12xlarge</t>
  </si>
  <si>
    <t>m6g.16xlarge</t>
  </si>
  <si>
    <t>$m6gd.</t>
  </si>
  <si>
    <t>m6gd.medium</t>
  </si>
  <si>
    <t>m6gd.large</t>
  </si>
  <si>
    <t>m6gd.xlarge</t>
  </si>
  <si>
    <t>m6gd.2xlarge</t>
  </si>
  <si>
    <t>$m6gd.Search</t>
  </si>
  <si>
    <t>m6gd.4xlarge</t>
  </si>
  <si>
    <t>m6gd.8xlarge</t>
  </si>
  <si>
    <t>m6gd.12xlarge</t>
  </si>
  <si>
    <t>m6gd.16xlarge</t>
  </si>
  <si>
    <t>$m6i.Search</t>
  </si>
  <si>
    <t>m6i.large</t>
  </si>
  <si>
    <t>$m6i.</t>
  </si>
  <si>
    <t>m6i.xlarge</t>
  </si>
  <si>
    <t>m6i.2xlarge</t>
  </si>
  <si>
    <t>m6i.4xlarge</t>
  </si>
  <si>
    <t>m6i.8xlarge</t>
  </si>
  <si>
    <t>m6i.12xlarge</t>
  </si>
  <si>
    <t>m6i.16xlarge</t>
  </si>
  <si>
    <t>m6i.24xlarge</t>
  </si>
  <si>
    <t>m6i.32xlarge</t>
  </si>
  <si>
    <t>$m6id.</t>
  </si>
  <si>
    <t>m6id.large</t>
  </si>
  <si>
    <t>m6id.xlarge</t>
  </si>
  <si>
    <t>m6id.2xlarge</t>
  </si>
  <si>
    <t>$m6id.Search</t>
  </si>
  <si>
    <t>m6id.4xlarge</t>
  </si>
  <si>
    <t>m6id.8xlarge</t>
  </si>
  <si>
    <t>m6id.12xlarge</t>
  </si>
  <si>
    <t>m6id.16xlarge</t>
  </si>
  <si>
    <t>m6id.24xlarge</t>
  </si>
  <si>
    <t>m6id.32xlarge</t>
  </si>
  <si>
    <t>$m6idn.</t>
  </si>
  <si>
    <t>m6idn.large</t>
  </si>
  <si>
    <t>m6idn.xlarge</t>
  </si>
  <si>
    <t>m6idn.2xlarge</t>
  </si>
  <si>
    <t>$m6idn.Search</t>
  </si>
  <si>
    <t>m6idn.4xlarge</t>
  </si>
  <si>
    <t>m6idn.8xlarge</t>
  </si>
  <si>
    <t>m6idn.12xlarge</t>
  </si>
  <si>
    <t>m6idn.16xlarge</t>
  </si>
  <si>
    <t>m6idn.24xlarge</t>
  </si>
  <si>
    <t>m6idn.32xlarge</t>
  </si>
  <si>
    <t>$m6in.Search</t>
  </si>
  <si>
    <t>m6in.large</t>
  </si>
  <si>
    <t>$m6in.</t>
  </si>
  <si>
    <t>m6in.xlarge</t>
  </si>
  <si>
    <t>m6in.2xlarge</t>
  </si>
  <si>
    <t>m6in.4xlarge</t>
  </si>
  <si>
    <t>m6in.8xlarge</t>
  </si>
  <si>
    <t>m6in.12xlarge</t>
  </si>
  <si>
    <t>m6in.16xlarge</t>
  </si>
  <si>
    <t>m6in.24xlarge</t>
  </si>
  <si>
    <t>m6in.32xlarge</t>
  </si>
  <si>
    <t>$m7a.Search</t>
  </si>
  <si>
    <t>m7a.medium</t>
  </si>
  <si>
    <t>$m7a.</t>
  </si>
  <si>
    <t>m7a.large</t>
  </si>
  <si>
    <t>m7a.xlarge</t>
  </si>
  <si>
    <t>m7a.2xlarge</t>
  </si>
  <si>
    <t>m7a.4xlarge</t>
  </si>
  <si>
    <t>m7a.8xlarge</t>
  </si>
  <si>
    <t>m7a.12xlarge</t>
  </si>
  <si>
    <t>m7a.16xlarge</t>
  </si>
  <si>
    <t>m7a.24xlarge</t>
  </si>
  <si>
    <t>m7a.32xlarge</t>
  </si>
  <si>
    <t>m7a.48xlarge</t>
  </si>
  <si>
    <t>$m7g.Search</t>
  </si>
  <si>
    <t>m7g.medium</t>
  </si>
  <si>
    <t>$m7g.</t>
  </si>
  <si>
    <t>m7g.large</t>
  </si>
  <si>
    <t>m7g.xlarge</t>
  </si>
  <si>
    <t>m7g.2xlarge</t>
  </si>
  <si>
    <t>m7g.4xlarge</t>
  </si>
  <si>
    <t>m7g.8xlarge</t>
  </si>
  <si>
    <t>m7g.12xlarge</t>
  </si>
  <si>
    <t>m7g.16xlarge</t>
  </si>
  <si>
    <t>$m7gd.</t>
  </si>
  <si>
    <t>m7gd.medium</t>
  </si>
  <si>
    <t>m7gd.large</t>
  </si>
  <si>
    <t>m7gd.xlarge</t>
  </si>
  <si>
    <t>m7gd.2xlarge</t>
  </si>
  <si>
    <t>$m7gd.Search</t>
  </si>
  <si>
    <t>m7gd.4xlarge</t>
  </si>
  <si>
    <t>m7gd.8xlarge</t>
  </si>
  <si>
    <t>m7gd.12xlarge</t>
  </si>
  <si>
    <t>m7gd.16xlarge</t>
  </si>
  <si>
    <t>$m7i-flex.Search</t>
  </si>
  <si>
    <t>m7i-flex.large</t>
  </si>
  <si>
    <t>$m7i-flex.</t>
  </si>
  <si>
    <t>m7i-flex.xlarge</t>
  </si>
  <si>
    <t>m7i-flex.2xlarge</t>
  </si>
  <si>
    <t>m7i-flex.4xlarge</t>
  </si>
  <si>
    <t>m7i-flex.8xlarge</t>
  </si>
  <si>
    <t>m7i-flex.12xlarge</t>
  </si>
  <si>
    <t>m7i-flex.16xlarge</t>
  </si>
  <si>
    <t>$m7i.Search</t>
  </si>
  <si>
    <t>m7i.large</t>
  </si>
  <si>
    <t>$m7i.</t>
  </si>
  <si>
    <t>m7i.xlarge</t>
  </si>
  <si>
    <t>m7i.2xlarge</t>
  </si>
  <si>
    <t>m7i.4xlarge</t>
  </si>
  <si>
    <t>m7i.8xlarge</t>
  </si>
  <si>
    <t>m7i.12xlarge</t>
  </si>
  <si>
    <t>m7i.16xlarge</t>
  </si>
  <si>
    <t>m7i.24xlarge</t>
  </si>
  <si>
    <t>m7i.48xlarge</t>
  </si>
  <si>
    <t>$m8g.Search</t>
  </si>
  <si>
    <t>m8g.medium</t>
  </si>
  <si>
    <t>$m8g.</t>
  </si>
  <si>
    <t>m8g.large</t>
  </si>
  <si>
    <t>m8g.xlarge</t>
  </si>
  <si>
    <t>m8g.2xlarge</t>
  </si>
  <si>
    <t>m8g.4xlarge</t>
  </si>
  <si>
    <t>m8g.8xlarge</t>
  </si>
  <si>
    <t>m8g.12xlarge</t>
  </si>
  <si>
    <t>m8g.16xlarge</t>
  </si>
  <si>
    <t>m8g.24xlarge</t>
  </si>
  <si>
    <t>m8g.48xlarge</t>
  </si>
  <si>
    <t>$m8gd.</t>
  </si>
  <si>
    <t>m8gd.medium</t>
  </si>
  <si>
    <t>m8gd.large</t>
  </si>
  <si>
    <t>m8gd.xlarge</t>
  </si>
  <si>
    <t>m8gd.2xlarge</t>
  </si>
  <si>
    <t>$m8gd.Search</t>
  </si>
  <si>
    <t>m8gd.4xlarge</t>
  </si>
  <si>
    <t>m8gd.8xlarge</t>
  </si>
  <si>
    <t>m8gd.12xlarge</t>
  </si>
  <si>
    <t>m8gd.16xlarge</t>
  </si>
  <si>
    <t>m8gd.24xlarge</t>
  </si>
  <si>
    <t>m8gd.48xlarge</t>
  </si>
  <si>
    <t>$r3.</t>
  </si>
  <si>
    <t>r3.large</t>
  </si>
  <si>
    <t>r3.xlarge</t>
  </si>
  <si>
    <t>$r3.Search</t>
  </si>
  <si>
    <t>r3.2xlarge</t>
  </si>
  <si>
    <t>r3.4xlarge</t>
  </si>
  <si>
    <t>r3.8xlarge</t>
  </si>
  <si>
    <t>$r4.Search</t>
  </si>
  <si>
    <t>r4.large</t>
  </si>
  <si>
    <t>$r4.</t>
  </si>
  <si>
    <t>r4.xlarge</t>
  </si>
  <si>
    <t>r4.2xlarge</t>
  </si>
  <si>
    <t>r4.4xlarge</t>
  </si>
  <si>
    <t>r4.8xlarge</t>
  </si>
  <si>
    <t>r4.16xlarge</t>
  </si>
  <si>
    <t>$r5.Search</t>
  </si>
  <si>
    <t>r5.large</t>
  </si>
  <si>
    <t>$r5.</t>
  </si>
  <si>
    <t>r5.xlarge</t>
  </si>
  <si>
    <t>r5.2xlarge</t>
  </si>
  <si>
    <t>r5.4xlarge</t>
  </si>
  <si>
    <t>r5.8xlarge</t>
  </si>
  <si>
    <t>r5.12xlarge</t>
  </si>
  <si>
    <t>r5.16xlarge</t>
  </si>
  <si>
    <t>r5.24xlarge</t>
  </si>
  <si>
    <t>$r5a.Search</t>
  </si>
  <si>
    <t>r5a.large</t>
  </si>
  <si>
    <t>$r5a.</t>
  </si>
  <si>
    <t>r5a.xlarge</t>
  </si>
  <si>
    <t>r5a.2xlarge</t>
  </si>
  <si>
    <t>r5a.4xlarge</t>
  </si>
  <si>
    <t>r5a.8xlarge</t>
  </si>
  <si>
    <t>r5a.12xlarge</t>
  </si>
  <si>
    <t>r5a.16xlarge</t>
  </si>
  <si>
    <t>r5a.24xlarge</t>
  </si>
  <si>
    <t>$r5ad.</t>
  </si>
  <si>
    <t>r5ad.large</t>
  </si>
  <si>
    <t>r5ad.xlarge</t>
  </si>
  <si>
    <t>r5ad.2xlarge</t>
  </si>
  <si>
    <t>$r5ad.Search</t>
  </si>
  <si>
    <t>r5ad.4xlarge</t>
  </si>
  <si>
    <t>r5ad.8xlarge</t>
  </si>
  <si>
    <t>r5ad.12xlarge</t>
  </si>
  <si>
    <t>r5ad.16xlarge</t>
  </si>
  <si>
    <t>r5ad.24xlarge</t>
  </si>
  <si>
    <t>$r5b.Search</t>
  </si>
  <si>
    <t>r5b.large</t>
  </si>
  <si>
    <t>$r5b.</t>
  </si>
  <si>
    <t>r5b.xlarge</t>
  </si>
  <si>
    <t>r5b.2xlarge</t>
  </si>
  <si>
    <t>r5b.4xlarge</t>
  </si>
  <si>
    <t>r5b.8xlarge</t>
  </si>
  <si>
    <t>r5b.12xlarge</t>
  </si>
  <si>
    <t>r5b.16xlarge</t>
  </si>
  <si>
    <t>r5b.24xlarge</t>
  </si>
  <si>
    <t>$r5d.</t>
  </si>
  <si>
    <t>r5d.large</t>
  </si>
  <si>
    <t>r5d.xlarge</t>
  </si>
  <si>
    <t>r5d.2xlarge</t>
  </si>
  <si>
    <t>$r5d.Search</t>
  </si>
  <si>
    <t>r5d.4xlarge</t>
  </si>
  <si>
    <t>r5d.8xlarge</t>
  </si>
  <si>
    <t>r5d.12xlarge</t>
  </si>
  <si>
    <t>r5d.16xlarge</t>
  </si>
  <si>
    <t>r5d.24xlarge</t>
  </si>
  <si>
    <t>$r5dn.</t>
  </si>
  <si>
    <t>r5dn.large</t>
  </si>
  <si>
    <t>r5dn.xlarge</t>
  </si>
  <si>
    <t>r5dn.2xlarge</t>
  </si>
  <si>
    <t>$r5dn.Search</t>
  </si>
  <si>
    <t>r5dn.4xlarge</t>
  </si>
  <si>
    <t>r5dn.8xlarge</t>
  </si>
  <si>
    <t>r5dn.12xlarge</t>
  </si>
  <si>
    <t>r5dn.16xlarge</t>
  </si>
  <si>
    <t>r5dn.24xlarge</t>
  </si>
  <si>
    <t>$r5n.Search</t>
  </si>
  <si>
    <t>r5n.large</t>
  </si>
  <si>
    <t>$r5n.</t>
  </si>
  <si>
    <t>r5n.xlarge</t>
  </si>
  <si>
    <t>r5n.2xlarge</t>
  </si>
  <si>
    <t>r5n.4xlarge</t>
  </si>
  <si>
    <t>r5n.8xlarge</t>
  </si>
  <si>
    <t>r5n.12xlarge</t>
  </si>
  <si>
    <t>r5n.16xlarge</t>
  </si>
  <si>
    <t>r5n.24xlarge</t>
  </si>
  <si>
    <t>$r6a.Search</t>
  </si>
  <si>
    <t>r6a.large</t>
  </si>
  <si>
    <t>$r6a.</t>
  </si>
  <si>
    <t>r6a.xlarge</t>
  </si>
  <si>
    <t>r6a.2xlarge</t>
  </si>
  <si>
    <t>r6a.4xlarge</t>
  </si>
  <si>
    <t>r6a.8xlarge</t>
  </si>
  <si>
    <t>r6a.12xlarge</t>
  </si>
  <si>
    <t>r6a.16xlarge</t>
  </si>
  <si>
    <t>r6a.24xlarge</t>
  </si>
  <si>
    <t>r6a.32xlarge</t>
  </si>
  <si>
    <t>r6a.48xlarge</t>
  </si>
  <si>
    <t>$r6g.Search</t>
  </si>
  <si>
    <t>r6g.medium</t>
  </si>
  <si>
    <t>$r6g.</t>
  </si>
  <si>
    <t>r6g.large</t>
  </si>
  <si>
    <t>r6g.xlarge</t>
  </si>
  <si>
    <t>r6g.2xlarge</t>
  </si>
  <si>
    <t>r6g.4xlarge</t>
  </si>
  <si>
    <t>r6g.8xlarge</t>
  </si>
  <si>
    <t>r6g.12xlarge</t>
  </si>
  <si>
    <t>r6g.16xlarge</t>
  </si>
  <si>
    <t>$r6gd.</t>
  </si>
  <si>
    <t>r6gd.medium</t>
  </si>
  <si>
    <t>r6gd.large</t>
  </si>
  <si>
    <t>r6gd.xlarge</t>
  </si>
  <si>
    <t>r6gd.2xlarge</t>
  </si>
  <si>
    <t>$r6gd.Search</t>
  </si>
  <si>
    <t>r6gd.4xlarge</t>
  </si>
  <si>
    <t>r6gd.8xlarge</t>
  </si>
  <si>
    <t>r6gd.12xlarge</t>
  </si>
  <si>
    <t>r6gd.16xlarge</t>
  </si>
  <si>
    <t>$r6i.Search</t>
  </si>
  <si>
    <t>r6i.large</t>
  </si>
  <si>
    <t>$r6i.</t>
  </si>
  <si>
    <t>r6i.xlarge</t>
  </si>
  <si>
    <t>r6i.2xlarge</t>
  </si>
  <si>
    <t>r6i.4xlarge</t>
  </si>
  <si>
    <t>r6i.8xlarge</t>
  </si>
  <si>
    <t>r6i.12xlarge</t>
  </si>
  <si>
    <t>r6i.16xlarge</t>
  </si>
  <si>
    <t>r6i.24xlarge</t>
  </si>
  <si>
    <t>r6i.32xlarge</t>
  </si>
  <si>
    <t>$r6id.</t>
  </si>
  <si>
    <t>r6id.large</t>
  </si>
  <si>
    <t>r6id.xlarge</t>
  </si>
  <si>
    <t>r6id.2xlarge</t>
  </si>
  <si>
    <t>$r6id.Search</t>
  </si>
  <si>
    <t>r6id.4xlarge</t>
  </si>
  <si>
    <t>r6id.8xlarge</t>
  </si>
  <si>
    <t>r6id.12xlarge</t>
  </si>
  <si>
    <t>r6id.16xlarge</t>
  </si>
  <si>
    <t>r6id.24xlarge</t>
  </si>
  <si>
    <t>r6id.32xlarge</t>
  </si>
  <si>
    <t>$r6idn.</t>
  </si>
  <si>
    <t>r6idn.large</t>
  </si>
  <si>
    <t>r6idn.xlarge</t>
  </si>
  <si>
    <t>r6idn.2xlarge</t>
  </si>
  <si>
    <t>$r6idn.Search</t>
  </si>
  <si>
    <t>r6idn.4xlarge</t>
  </si>
  <si>
    <t>r6idn.8xlarge</t>
  </si>
  <si>
    <t>r6idn.12xlarge</t>
  </si>
  <si>
    <t>r6idn.16xlarge</t>
  </si>
  <si>
    <t>r6idn.24xlarge</t>
  </si>
  <si>
    <t>r6idn.32xlarge</t>
  </si>
  <si>
    <t>$r6in.Search</t>
  </si>
  <si>
    <t>r6in.large</t>
  </si>
  <si>
    <t>$r6in.</t>
  </si>
  <si>
    <t>r6in.xlarge</t>
  </si>
  <si>
    <t>r6in.2xlarge</t>
  </si>
  <si>
    <t>r6in.4xlarge</t>
  </si>
  <si>
    <t>r6in.8xlarge</t>
  </si>
  <si>
    <t>r6in.12xlarge</t>
  </si>
  <si>
    <t>r6in.16xlarge</t>
  </si>
  <si>
    <t>r6in.24xlarge</t>
  </si>
  <si>
    <t>r6in.32xlarge</t>
  </si>
  <si>
    <t>$r7a.Search</t>
  </si>
  <si>
    <t>r7a.medium</t>
  </si>
  <si>
    <t>$r7a.</t>
  </si>
  <si>
    <t>r7a.large</t>
  </si>
  <si>
    <t>r7a.xlarge</t>
  </si>
  <si>
    <t>r7a.2xlarge</t>
  </si>
  <si>
    <t>r7a.4xlarge</t>
  </si>
  <si>
    <t>r7a.8xlarge</t>
  </si>
  <si>
    <t>r7a.12xlarge</t>
  </si>
  <si>
    <t>r7a.16xlarge</t>
  </si>
  <si>
    <t>r7a.24xlarge</t>
  </si>
  <si>
    <t>r7a.32xlarge</t>
  </si>
  <si>
    <t>r7a.48xlarge</t>
  </si>
  <si>
    <t>$r7g.Search</t>
  </si>
  <si>
    <t>r7g.medium</t>
  </si>
  <si>
    <t>$r7g.</t>
  </si>
  <si>
    <t>r7g.large</t>
  </si>
  <si>
    <t>r7g.xlarge</t>
  </si>
  <si>
    <t>r7g.2xlarge</t>
  </si>
  <si>
    <t>r7g.4xlarge</t>
  </si>
  <si>
    <t>r7g.8xlarge</t>
  </si>
  <si>
    <t>r7g.12xlarge</t>
  </si>
  <si>
    <t>r7g.16xlarge</t>
  </si>
  <si>
    <t>$r7gd.</t>
  </si>
  <si>
    <t>r7gd.medium</t>
  </si>
  <si>
    <t>r7gd.large</t>
  </si>
  <si>
    <t>r7gd.xlarge</t>
  </si>
  <si>
    <t>r7gd.2xlarge</t>
  </si>
  <si>
    <t>$r7gd.Search</t>
  </si>
  <si>
    <t>r7gd.4xlarge</t>
  </si>
  <si>
    <t>r7gd.8xlarge</t>
  </si>
  <si>
    <t>r7gd.12xlarge</t>
  </si>
  <si>
    <t>r7gd.16xlarge</t>
  </si>
  <si>
    <t>$r7i.Search</t>
  </si>
  <si>
    <t>r7i.large</t>
  </si>
  <si>
    <t>$r7i.</t>
  </si>
  <si>
    <t>r7i.xlarge</t>
  </si>
  <si>
    <t>r7i.2xlarge</t>
  </si>
  <si>
    <t>r7i.4xlarge</t>
  </si>
  <si>
    <t>r7i.8xlarge</t>
  </si>
  <si>
    <t>r7i.12xlarge</t>
  </si>
  <si>
    <t>r7i.16xlarge</t>
  </si>
  <si>
    <t>r7i.24xlarge</t>
  </si>
  <si>
    <t>r7i.48xlarge</t>
  </si>
  <si>
    <t>$r7iz.Search</t>
  </si>
  <si>
    <t>r7iz.large</t>
  </si>
  <si>
    <t>$r7iz.</t>
  </si>
  <si>
    <t>r7iz.xlarge</t>
  </si>
  <si>
    <t>r7iz.2xlarge</t>
  </si>
  <si>
    <t>r7iz.4xlarge</t>
  </si>
  <si>
    <t>r7iz.8xlarge</t>
  </si>
  <si>
    <t>r7iz.12xlarge</t>
  </si>
  <si>
    <t>r7iz.16xlarge</t>
  </si>
  <si>
    <t>r7iz.32xlarge</t>
  </si>
  <si>
    <t>$r8g.Search</t>
  </si>
  <si>
    <t>r8g.medium</t>
  </si>
  <si>
    <t>$r8g.</t>
  </si>
  <si>
    <t>r8g.large</t>
  </si>
  <si>
    <t>r8g.xlarge</t>
  </si>
  <si>
    <t>r8g.2xlarge</t>
  </si>
  <si>
    <t>r8g.4xlarge</t>
  </si>
  <si>
    <t>r8g.8xlarge</t>
  </si>
  <si>
    <t>r8g.12xlarge</t>
  </si>
  <si>
    <t>r8g.16xlarge</t>
  </si>
  <si>
    <t>r8g.24xlarge</t>
  </si>
  <si>
    <t>r8g.48xlarge</t>
  </si>
  <si>
    <t>$r8gd.</t>
  </si>
  <si>
    <t>r8gd.medium</t>
  </si>
  <si>
    <t>r8gd.large</t>
  </si>
  <si>
    <t>r8gd.xlarge</t>
  </si>
  <si>
    <t>r8gd.2xlarge</t>
  </si>
  <si>
    <t>$r8gd.Search</t>
  </si>
  <si>
    <t>r8gd.4xlarge</t>
  </si>
  <si>
    <t>r8gd.8xlarge</t>
  </si>
  <si>
    <t>r8gd.12xlarge</t>
  </si>
  <si>
    <t>r8gd.16xlarge</t>
  </si>
  <si>
    <t>r8gd.24xlarge</t>
  </si>
  <si>
    <t>r8gd.48xlarge</t>
  </si>
  <si>
    <t>$t1.Search</t>
  </si>
  <si>
    <t>t1.micro</t>
  </si>
  <si>
    <t>Very Low</t>
  </si>
  <si>
    <t>$t2.Search</t>
  </si>
  <si>
    <t>t2.medium</t>
  </si>
  <si>
    <r>
      <t xml:space="preserve">2 </t>
    </r>
    <r>
      <rPr>
        <rFont val="Inter, Helvetica, sans-serif"/>
        <color rgb="FF1155CC"/>
        <u/>
      </rPr>
      <t>for a 4h 48m burst</t>
    </r>
  </si>
  <si>
    <t>Low to Moderate</t>
  </si>
  <si>
    <t>$t2.</t>
  </si>
  <si>
    <t>t2.large</t>
  </si>
  <si>
    <r>
      <t xml:space="preserve">2 </t>
    </r>
    <r>
      <rPr>
        <rFont val="Inter, Helvetica, sans-serif"/>
        <color rgb="FF1155CC"/>
        <u/>
      </rPr>
      <t>for a 7h 12m burst</t>
    </r>
  </si>
  <si>
    <t>t2.xlarge</t>
  </si>
  <si>
    <r>
      <t xml:space="preserve">4 </t>
    </r>
    <r>
      <rPr>
        <rFont val="Inter, Helvetica, sans-serif"/>
        <color rgb="FF1155CC"/>
        <u/>
      </rPr>
      <t>for a 5h 24m burst</t>
    </r>
  </si>
  <si>
    <t>t2.2xlarge</t>
  </si>
  <si>
    <r>
      <t xml:space="preserve">8 </t>
    </r>
    <r>
      <rPr>
        <rFont val="Inter, Helvetica, sans-serif"/>
        <color rgb="FF1155CC"/>
        <u/>
      </rPr>
      <t>for a 4h 4.8m burst</t>
    </r>
  </si>
  <si>
    <t>t2.micro</t>
  </si>
  <si>
    <r>
      <t xml:space="preserve">1 </t>
    </r>
    <r>
      <rPr>
        <rFont val="Inter, Helvetica, sans-serif"/>
        <color rgb="FF1155CC"/>
        <u/>
      </rPr>
      <t>for a 2h 24m burst</t>
    </r>
  </si>
  <si>
    <t>t2.nano</t>
  </si>
  <si>
    <r>
      <t xml:space="preserve">1 </t>
    </r>
    <r>
      <rPr>
        <rFont val="Inter, Helvetica, sans-serif"/>
        <color rgb="FF1155CC"/>
        <u/>
      </rPr>
      <t>for a 1h 12m burst</t>
    </r>
  </si>
  <si>
    <t>t2.small</t>
  </si>
  <si>
    <r>
      <t xml:space="preserve">1 </t>
    </r>
    <r>
      <rPr>
        <rFont val="Inter, Helvetica, sans-serif"/>
        <color rgb="FF1155CC"/>
        <u/>
      </rPr>
      <t>for a 4h 48m burst</t>
    </r>
  </si>
  <si>
    <t>$t3.Search</t>
  </si>
  <si>
    <t>t3.medium</t>
  </si>
  <si>
    <r>
      <t xml:space="preserve">2 </t>
    </r>
    <r>
      <rPr>
        <rFont val="Inter, Helvetica, sans-serif"/>
        <color rgb="FF1155CC"/>
        <u/>
      </rPr>
      <t>for a 4h 48m burst</t>
    </r>
  </si>
  <si>
    <t>Up to 5 Gigabit</t>
  </si>
  <si>
    <t>$t3.</t>
  </si>
  <si>
    <t>t3.large</t>
  </si>
  <si>
    <r>
      <t xml:space="preserve">2 </t>
    </r>
    <r>
      <rPr>
        <rFont val="Inter, Helvetica, sans-serif"/>
        <color rgb="FF1155CC"/>
        <u/>
      </rPr>
      <t>for a 7h 12m burst</t>
    </r>
  </si>
  <si>
    <t>t3.xlarge</t>
  </si>
  <si>
    <r>
      <t xml:space="preserve">4 </t>
    </r>
    <r>
      <rPr>
        <rFont val="Inter, Helvetica, sans-serif"/>
        <color rgb="FF1155CC"/>
        <u/>
      </rPr>
      <t>for a 9h 36m burst</t>
    </r>
  </si>
  <si>
    <t>t3.2xlarge</t>
  </si>
  <si>
    <r>
      <t xml:space="preserve">8 </t>
    </r>
    <r>
      <rPr>
        <rFont val="Inter, Helvetica, sans-serif"/>
        <color rgb="FF1155CC"/>
        <u/>
      </rPr>
      <t>for a 9h 36m burst</t>
    </r>
  </si>
  <si>
    <t>t3.micro</t>
  </si>
  <si>
    <r>
      <t xml:space="preserve">2 </t>
    </r>
    <r>
      <rPr>
        <rFont val="Inter, Helvetica, sans-serif"/>
        <color rgb="FF1155CC"/>
        <u/>
      </rPr>
      <t>for a 2h 24m burst</t>
    </r>
  </si>
  <si>
    <t>t3.nano</t>
  </si>
  <si>
    <r>
      <t xml:space="preserve">2 </t>
    </r>
    <r>
      <rPr>
        <rFont val="Inter, Helvetica, sans-serif"/>
        <color rgb="FF1155CC"/>
        <u/>
      </rPr>
      <t>for a 1h 12m burst</t>
    </r>
  </si>
  <si>
    <t>t3.small</t>
  </si>
  <si>
    <r>
      <t xml:space="preserve">2 </t>
    </r>
    <r>
      <rPr>
        <rFont val="Inter, Helvetica, sans-serif"/>
        <color rgb="FF1155CC"/>
        <u/>
      </rPr>
      <t>for a 4h 48m burst</t>
    </r>
  </si>
  <si>
    <t>$t3a.Search</t>
  </si>
  <si>
    <t>t3a.medium</t>
  </si>
  <si>
    <r>
      <t xml:space="preserve">2 </t>
    </r>
    <r>
      <rPr>
        <rFont val="Inter, Helvetica, sans-serif"/>
        <color rgb="FF1155CC"/>
        <u/>
      </rPr>
      <t>for a 4h 48m burst</t>
    </r>
  </si>
  <si>
    <t>$t3a.</t>
  </si>
  <si>
    <t>t3a.large</t>
  </si>
  <si>
    <r>
      <t xml:space="preserve">2 </t>
    </r>
    <r>
      <rPr>
        <rFont val="Inter, Helvetica, sans-serif"/>
        <color rgb="FF1155CC"/>
        <u/>
      </rPr>
      <t>for a 7h 12m burst</t>
    </r>
  </si>
  <si>
    <t>t3a.xlarge</t>
  </si>
  <si>
    <r>
      <t xml:space="preserve">4 </t>
    </r>
    <r>
      <rPr>
        <rFont val="Inter, Helvetica, sans-serif"/>
        <color rgb="FF1155CC"/>
        <u/>
      </rPr>
      <t>for a 9h 36m burst</t>
    </r>
  </si>
  <si>
    <t>t3a.2xlarge</t>
  </si>
  <si>
    <r>
      <t xml:space="preserve">8 </t>
    </r>
    <r>
      <rPr>
        <rFont val="Inter, Helvetica, sans-serif"/>
        <color rgb="FF1155CC"/>
        <u/>
      </rPr>
      <t>for a 9h 36m burst</t>
    </r>
  </si>
  <si>
    <t>t3a.micro</t>
  </si>
  <si>
    <r>
      <t xml:space="preserve">2 </t>
    </r>
    <r>
      <rPr>
        <rFont val="Inter, Helvetica, sans-serif"/>
        <color rgb="FF1155CC"/>
        <u/>
      </rPr>
      <t>for a 2h 24m burst</t>
    </r>
  </si>
  <si>
    <t>t3a.nano</t>
  </si>
  <si>
    <r>
      <t xml:space="preserve">2 </t>
    </r>
    <r>
      <rPr>
        <rFont val="Inter, Helvetica, sans-serif"/>
        <color rgb="FF1155CC"/>
        <u/>
      </rPr>
      <t>for a 1h 12m burst</t>
    </r>
  </si>
  <si>
    <t>t3a.small</t>
  </si>
  <si>
    <r>
      <t xml:space="preserve">2 </t>
    </r>
    <r>
      <rPr>
        <rFont val="Inter, Helvetica, sans-serif"/>
        <color rgb="FF1155CC"/>
        <u/>
      </rPr>
      <t>for a 4h 48m burst</t>
    </r>
  </si>
  <si>
    <t>$t4g.Search</t>
  </si>
  <si>
    <t>t4g.medium</t>
  </si>
  <si>
    <r>
      <t xml:space="preserve">2 </t>
    </r>
    <r>
      <rPr>
        <rFont val="Inter, Helvetica, sans-serif"/>
        <color rgb="FF1155CC"/>
        <u/>
      </rPr>
      <t>for a 4h 48m burst</t>
    </r>
  </si>
  <si>
    <t>$t4g.</t>
  </si>
  <si>
    <t>t4g.large</t>
  </si>
  <si>
    <r>
      <t xml:space="preserve">2 </t>
    </r>
    <r>
      <rPr>
        <rFont val="Inter, Helvetica, sans-serif"/>
        <color rgb="FF1155CC"/>
        <u/>
      </rPr>
      <t>for a 7h 12m burst</t>
    </r>
  </si>
  <si>
    <t>t4g.xlarge</t>
  </si>
  <si>
    <r>
      <t xml:space="preserve">4 </t>
    </r>
    <r>
      <rPr>
        <rFont val="Inter, Helvetica, sans-serif"/>
        <color rgb="FF1155CC"/>
        <u/>
      </rPr>
      <t>for a 9h 36m burst</t>
    </r>
  </si>
  <si>
    <t>t4g.2xlarge</t>
  </si>
  <si>
    <r>
      <t xml:space="preserve">8 </t>
    </r>
    <r>
      <rPr>
        <rFont val="Inter, Helvetica, sans-serif"/>
        <color rgb="FF1155CC"/>
        <u/>
      </rPr>
      <t>for a 9h 36m burst</t>
    </r>
  </si>
  <si>
    <t>t4g.micro</t>
  </si>
  <si>
    <r>
      <t xml:space="preserve">2 </t>
    </r>
    <r>
      <rPr>
        <rFont val="Inter, Helvetica, sans-serif"/>
        <color rgb="FF1155CC"/>
        <u/>
      </rPr>
      <t>for a 2h 24m burst</t>
    </r>
  </si>
  <si>
    <t>t4g.nano</t>
  </si>
  <si>
    <r>
      <t xml:space="preserve">2 </t>
    </r>
    <r>
      <rPr>
        <rFont val="Inter, Helvetica, sans-serif"/>
        <color rgb="FF1155CC"/>
        <u/>
      </rPr>
      <t>for a 1h 12m burst</t>
    </r>
  </si>
  <si>
    <t>t4g.small</t>
  </si>
  <si>
    <r>
      <t xml:space="preserve">2 </t>
    </r>
    <r>
      <rPr>
        <rFont val="Inter, Helvetica, sans-serif"/>
        <color rgb="FF1155CC"/>
        <u/>
      </rPr>
      <t>for a 4h 48m burst</t>
    </r>
  </si>
  <si>
    <t>$u-12tb1.Search</t>
  </si>
  <si>
    <t>u-12tb1.112xlarge</t>
  </si>
  <si>
    <t>$u-18tb1.Search</t>
  </si>
  <si>
    <t>u-18tb1.112xlarge</t>
  </si>
  <si>
    <t>$u-24tb1.Search</t>
  </si>
  <si>
    <t>u-24tb1.112xlarge</t>
  </si>
  <si>
    <t>$u-3tb1.Search</t>
  </si>
  <si>
    <t>u-3tb1.56xlarge</t>
  </si>
  <si>
    <t>$u-6tb1.Search</t>
  </si>
  <si>
    <t>u-6tb1.112xlarge</t>
  </si>
  <si>
    <t>$u-6tb1.</t>
  </si>
  <si>
    <t>u-6tb1.56xlarge</t>
  </si>
  <si>
    <t>$u-9tb1.Search</t>
  </si>
  <si>
    <t>u-9tb1.112xlarge</t>
  </si>
  <si>
    <t>$u7i-12tb.Search</t>
  </si>
  <si>
    <t>u7i-12tb.224xlarge</t>
  </si>
  <si>
    <t>$u7in-16tb.Search</t>
  </si>
  <si>
    <t>u7in-16tb.224xlarge</t>
  </si>
  <si>
    <t>$u7in-24tb.Search</t>
  </si>
  <si>
    <t>u7in-24tb.224xlarge</t>
  </si>
  <si>
    <t>$u7in-32tb.Search</t>
  </si>
  <si>
    <t>u7in-32tb.224xlarge</t>
  </si>
  <si>
    <t>$vt1.Search</t>
  </si>
  <si>
    <t>vt1.3xlarge</t>
  </si>
  <si>
    <t>3.12 Gigabit</t>
  </si>
  <si>
    <t>$vt1.</t>
  </si>
  <si>
    <t>vt1.6xlarge</t>
  </si>
  <si>
    <t>6.25 Gigabit</t>
  </si>
  <si>
    <t>vt1.24xlarge</t>
  </si>
  <si>
    <t>$x1.Search</t>
  </si>
  <si>
    <t>x1.16xlarge</t>
  </si>
  <si>
    <t>$x1.</t>
  </si>
  <si>
    <t>x1.32xlarge</t>
  </si>
  <si>
    <t>$x1e.</t>
  </si>
  <si>
    <t>x1e.xlarge</t>
  </si>
  <si>
    <t>x1e.2xlarge</t>
  </si>
  <si>
    <t>x1e.4xlarge</t>
  </si>
  <si>
    <t>$x1e.Search</t>
  </si>
  <si>
    <t>x1e.8xlarge</t>
  </si>
  <si>
    <t>x1e.16xlarge</t>
  </si>
  <si>
    <t>x1e.32xlarge</t>
  </si>
  <si>
    <t>$x2gd.</t>
  </si>
  <si>
    <t>x2gd.medium</t>
  </si>
  <si>
    <t>x2gd.large</t>
  </si>
  <si>
    <t>x2gd.xlarge</t>
  </si>
  <si>
    <t>x2gd.2xlarge</t>
  </si>
  <si>
    <t>$x2gd.Search</t>
  </si>
  <si>
    <t>x2gd.4xlarge</t>
  </si>
  <si>
    <t>x2gd.8xlarge</t>
  </si>
  <si>
    <t>x2gd.12xlarge</t>
  </si>
  <si>
    <t>x2gd.16xlarge</t>
  </si>
  <si>
    <t>$x2idn.Search</t>
  </si>
  <si>
    <t>x2idn.16xlarge</t>
  </si>
  <si>
    <t>$x2idn.</t>
  </si>
  <si>
    <t>x2idn.24xlarge</t>
  </si>
  <si>
    <t>x2idn.32xlarge</t>
  </si>
  <si>
    <t>$x2iedn.</t>
  </si>
  <si>
    <t>x2iedn.xlarge</t>
  </si>
  <si>
    <t>x2iedn.2xlarge</t>
  </si>
  <si>
    <t>x2iedn.4xlarge</t>
  </si>
  <si>
    <t>$x2iedn.Search</t>
  </si>
  <si>
    <t>x2iedn.8xlarge</t>
  </si>
  <si>
    <t>x2iedn.16xlarge</t>
  </si>
  <si>
    <t>x2iedn.24xlarge</t>
  </si>
  <si>
    <t>x2iedn.32xlarge</t>
  </si>
  <si>
    <t>$x2iezn.Search</t>
  </si>
  <si>
    <t>x2iezn.2xlarge</t>
  </si>
  <si>
    <t>$x2iezn.</t>
  </si>
  <si>
    <t>x2iezn.4xlarge</t>
  </si>
  <si>
    <t>x2iezn.6xlarge</t>
  </si>
  <si>
    <t>x2iezn.8xlarge</t>
  </si>
  <si>
    <t>x2iezn.12xlarge</t>
  </si>
  <si>
    <t>$x8g.Search</t>
  </si>
  <si>
    <t>x8g.medium</t>
  </si>
  <si>
    <t>$x8g.</t>
  </si>
  <si>
    <t>x8g.large</t>
  </si>
  <si>
    <t>x8g.xlarge</t>
  </si>
  <si>
    <t>x8g.2xlarge</t>
  </si>
  <si>
    <t>x8g.4xlarge</t>
  </si>
  <si>
    <t>x8g.8xlarge</t>
  </si>
  <si>
    <t>x8g.12xlarge</t>
  </si>
  <si>
    <t>x8g.16xlarge</t>
  </si>
  <si>
    <t>x8g.24xlarge</t>
  </si>
  <si>
    <t>x8g.48xlarge</t>
  </si>
  <si>
    <t>$z1d.</t>
  </si>
  <si>
    <t>z1d.large</t>
  </si>
  <si>
    <t>z1d.xlarge</t>
  </si>
  <si>
    <t>z1d.2xlarge</t>
  </si>
  <si>
    <t>$z1d.Search</t>
  </si>
  <si>
    <t>z1d.3xlarge</t>
  </si>
  <si>
    <t>z1d.6xlarge</t>
  </si>
  <si>
    <t>z1d.12xlarge</t>
  </si>
  <si>
    <t>Node</t>
  </si>
  <si>
    <t>Hardware Specification</t>
  </si>
  <si>
    <t>Number of Nodes</t>
  </si>
  <si>
    <t>Node Specification</t>
  </si>
  <si>
    <t>Each Disk Size (GB)</t>
  </si>
  <si>
    <t>Monthly Rate</t>
  </si>
  <si>
    <t>Requirements Per Region</t>
  </si>
  <si>
    <t>Aerospike Facts</t>
  </si>
  <si>
    <t>Primary Index Entry Size (B)</t>
  </si>
  <si>
    <t>Secondary Index Entry Size (B)</t>
  </si>
  <si>
    <t>Secondary Index Overhead (B)</t>
  </si>
  <si>
    <t>Write Block Size (B)</t>
  </si>
  <si>
    <t>Disk Block Size (B)</t>
  </si>
  <si>
    <t>Record Overhead (B)</t>
  </si>
  <si>
    <t>Aerospike All-Flash Facts</t>
  </si>
  <si>
    <t>Sprig size (B)</t>
  </si>
  <si>
    <t>Number of Partitions</t>
  </si>
  <si>
    <t>Records per sprig</t>
  </si>
  <si>
    <t>Primary Index Fill Factor</t>
  </si>
  <si>
    <t>Number of items in each leaf of Secondaru Index</t>
  </si>
  <si>
    <t>Secondary Index Fill Factor</t>
  </si>
  <si>
    <t>Time Conversions</t>
  </si>
  <si>
    <t>Number of days in a year</t>
  </si>
  <si>
    <t>Number of hours in a day</t>
  </si>
  <si>
    <t>Number of Minutes in an hour</t>
  </si>
  <si>
    <t>Number of Seconds in a Minute</t>
  </si>
  <si>
    <t>Number of Hours in a Year</t>
  </si>
  <si>
    <t>Number of seconds in a Year</t>
  </si>
  <si>
    <t>KB</t>
  </si>
  <si>
    <t>MB</t>
  </si>
  <si>
    <t>GB</t>
  </si>
  <si>
    <t>TB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</si>
</sst>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0,,&quot;M&quot;"/>
    <numFmt numFmtId="165" formatCode="#,##0.0"/>
    <numFmt numFmtId="166" formatCode="#,##0.000"/>
    <numFmt numFmtId="167" formatCode="&quot;$&quot;#,##0"/>
    <numFmt numFmtId="168" formatCode="#,##0.0000"/>
    <numFmt numFmtId="169" formatCode="&quot;$&quot;#,##0.00"/>
    <numFmt numFmtId="170" formatCode="&quot;$&quot;#,##0.00000"/>
  </numFmts>
  <fonts count="13">
    <font>
      <sz val="10.0"/>
      <color rgb="FF000000"/>
      <name val="Arial"/>
      <scheme val="minor"/>
    </font>
    <font>
      <color theme="1"/>
      <name val="Arial"/>
    </font>
    <font>
      <u/>
      <color theme="1"/>
      <name val="Arial"/>
      <scheme val="minor"/>
    </font>
    <font>
      <b/>
      <color rgb="FFFFFFFF"/>
      <name val="Arial"/>
    </font>
    <font/>
    <font>
      <b/>
      <color rgb="FFFFFFFF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Roboto Mono"/>
    </font>
    <font>
      <color rgb="FF212529"/>
      <name val="Inter"/>
    </font>
    <font>
      <sz val="9.0"/>
      <color theme="1"/>
      <name val="Arial"/>
    </font>
    <font>
      <u/>
      <color rgb="FF0000FF"/>
      <name val="Inter"/>
    </font>
  </fonts>
  <fills count="10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4285F4"/>
        <bgColor rgb="FF4285F4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3">
    <border/>
    <border>
      <left style="thin">
        <color rgb="FF674EA7"/>
      </left>
      <top style="thin">
        <color rgb="FF674EA7"/>
      </top>
    </border>
    <border>
      <top style="thin">
        <color rgb="FF674EA7"/>
      </top>
    </border>
    <border>
      <right style="thin">
        <color rgb="FF674EA7"/>
      </right>
      <top style="thin">
        <color rgb="FF674EA7"/>
      </top>
    </border>
    <border>
      <left style="thin">
        <color rgb="FF674EA7"/>
      </left>
    </border>
    <border>
      <right style="thin">
        <color rgb="FF674EA7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674EA7"/>
      </left>
      <bottom style="thin">
        <color rgb="FF674EA7"/>
      </bottom>
    </border>
    <border>
      <bottom style="thin">
        <color rgb="FF674EA7"/>
      </bottom>
    </border>
    <border>
      <right style="thin">
        <color rgb="FF674EA7"/>
      </right>
      <bottom style="thin">
        <color rgb="FF674EA7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E9E7EC"/>
      </bottom>
    </border>
    <border>
      <right style="thin">
        <color rgb="FF000000"/>
      </right>
      <bottom style="thin">
        <color rgb="FFE9E7E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9DAF8"/>
      </left>
      <right style="thin">
        <color rgb="FF000000"/>
      </right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readingOrder="0" vertical="bottom"/>
    </xf>
    <xf borderId="2" fillId="0" fontId="4" numFmtId="0" xfId="0" applyBorder="1" applyFont="1"/>
    <xf borderId="3" fillId="0" fontId="4" numFmtId="0" xfId="0" applyBorder="1" applyFont="1"/>
    <xf borderId="4" fillId="0" fontId="1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5" fillId="0" fontId="1" numFmtId="0" xfId="0" applyAlignment="1" applyBorder="1" applyFont="1">
      <alignment vertical="bottom"/>
    </xf>
    <xf borderId="6" fillId="3" fontId="5" numFmtId="0" xfId="0" applyAlignment="1" applyBorder="1" applyFill="1" applyFont="1">
      <alignment readingOrder="0"/>
    </xf>
    <xf borderId="7" fillId="3" fontId="5" numFmtId="0" xfId="0" applyAlignment="1" applyBorder="1" applyFont="1">
      <alignment readingOrder="0"/>
    </xf>
    <xf borderId="8" fillId="3" fontId="5" numFmtId="0" xfId="0" applyAlignment="1" applyBorder="1" applyFont="1">
      <alignment readingOrder="0"/>
    </xf>
    <xf borderId="9" fillId="4" fontId="6" numFmtId="0" xfId="0" applyAlignment="1" applyBorder="1" applyFill="1" applyFont="1">
      <alignment readingOrder="0"/>
    </xf>
    <xf borderId="10" fillId="0" fontId="4" numFmtId="0" xfId="0" applyBorder="1" applyFont="1"/>
    <xf borderId="9" fillId="0" fontId="7" numFmtId="0" xfId="0" applyAlignment="1" applyBorder="1" applyFont="1">
      <alignment readingOrder="0"/>
    </xf>
    <xf borderId="0" fillId="5" fontId="7" numFmtId="0" xfId="0" applyAlignment="1" applyFill="1" applyFont="1">
      <alignment readingOrder="0"/>
    </xf>
    <xf borderId="10" fillId="5" fontId="7" numFmtId="0" xfId="0" applyAlignment="1" applyBorder="1" applyFont="1">
      <alignment readingOrder="0"/>
    </xf>
    <xf borderId="0" fillId="5" fontId="1" numFmtId="0" xfId="0" applyAlignment="1" applyFont="1">
      <alignment horizontal="right" readingOrder="0" vertical="bottom"/>
    </xf>
    <xf borderId="0" fillId="5" fontId="1" numFmtId="164" xfId="0" applyAlignment="1" applyFont="1" applyNumberFormat="1">
      <alignment horizontal="right" readingOrder="0" vertical="bottom"/>
    </xf>
    <xf borderId="0" fillId="5" fontId="7" numFmtId="164" xfId="0" applyAlignment="1" applyFont="1" applyNumberFormat="1">
      <alignment readingOrder="0"/>
    </xf>
    <xf borderId="10" fillId="5" fontId="7" numFmtId="164" xfId="0" applyAlignment="1" applyBorder="1" applyFont="1" applyNumberFormat="1">
      <alignment readingOrder="0"/>
    </xf>
    <xf borderId="0" fillId="5" fontId="7" numFmtId="165" xfId="0" applyAlignment="1" applyFont="1" applyNumberFormat="1">
      <alignment readingOrder="0"/>
    </xf>
    <xf borderId="10" fillId="5" fontId="7" numFmtId="165" xfId="0" applyAlignment="1" applyBorder="1" applyFont="1" applyNumberFormat="1">
      <alignment readingOrder="0"/>
    </xf>
    <xf borderId="0" fillId="5" fontId="7" numFmtId="9" xfId="0" applyAlignment="1" applyFont="1" applyNumberFormat="1">
      <alignment readingOrder="0"/>
    </xf>
    <xf borderId="10" fillId="5" fontId="7" numFmtId="9" xfId="0" applyAlignment="1" applyBorder="1" applyFont="1" applyNumberFormat="1">
      <alignment readingOrder="0"/>
    </xf>
    <xf borderId="0" fillId="5" fontId="7" numFmtId="3" xfId="0" applyAlignment="1" applyFont="1" applyNumberFormat="1">
      <alignment readingOrder="0"/>
    </xf>
    <xf borderId="10" fillId="5" fontId="7" numFmtId="3" xfId="0" applyAlignment="1" applyBorder="1" applyFont="1" applyNumberFormat="1">
      <alignment readingOrder="0"/>
    </xf>
    <xf borderId="0" fillId="5" fontId="7" numFmtId="4" xfId="0" applyAlignment="1" applyFont="1" applyNumberFormat="1">
      <alignment readingOrder="0"/>
    </xf>
    <xf borderId="10" fillId="5" fontId="7" numFmtId="4" xfId="0" applyAlignment="1" applyBorder="1" applyFont="1" applyNumberFormat="1">
      <alignment readingOrder="0"/>
    </xf>
    <xf borderId="9" fillId="0" fontId="6" numFmtId="0" xfId="0" applyAlignment="1" applyBorder="1" applyFont="1">
      <alignment readingOrder="0"/>
    </xf>
    <xf borderId="0" fillId="5" fontId="6" numFmtId="0" xfId="0" applyAlignment="1" applyFont="1">
      <alignment readingOrder="0"/>
    </xf>
    <xf borderId="10" fillId="5" fontId="6" numFmtId="0" xfId="0" applyAlignment="1" applyBorder="1" applyFont="1">
      <alignment readingOrder="0"/>
    </xf>
    <xf borderId="11" fillId="0" fontId="7" numFmtId="0" xfId="0" applyAlignment="1" applyBorder="1" applyFont="1">
      <alignment readingOrder="0"/>
    </xf>
    <xf borderId="12" fillId="5" fontId="7" numFmtId="4" xfId="0" applyAlignment="1" applyBorder="1" applyFont="1" applyNumberFormat="1">
      <alignment readingOrder="0"/>
    </xf>
    <xf borderId="13" fillId="5" fontId="7" numFmtId="4" xfId="0" applyAlignment="1" applyBorder="1" applyFont="1" applyNumberFormat="1">
      <alignment readingOrder="0"/>
    </xf>
    <xf borderId="14" fillId="0" fontId="1" numFmtId="0" xfId="0" applyAlignment="1" applyBorder="1" applyFont="1">
      <alignment vertical="bottom"/>
    </xf>
    <xf borderId="15" fillId="0" fontId="7" numFmtId="0" xfId="0" applyBorder="1" applyFont="1"/>
    <xf borderId="16" fillId="0" fontId="1" numFmtId="0" xfId="0" applyAlignment="1" applyBorder="1" applyFont="1">
      <alignment vertical="bottom"/>
    </xf>
    <xf borderId="1" fillId="2" fontId="5" numFmtId="0" xfId="0" applyAlignment="1" applyBorder="1" applyFont="1">
      <alignment readingOrder="0"/>
    </xf>
    <xf borderId="0" fillId="0" fontId="3" numFmtId="0" xfId="0" applyAlignment="1" applyFont="1">
      <alignment readingOrder="0" vertical="bottom"/>
    </xf>
    <xf borderId="9" fillId="4" fontId="1" numFmtId="0" xfId="0" applyAlignment="1" applyBorder="1" applyFont="1">
      <alignment readingOrder="0" vertical="bottom"/>
    </xf>
    <xf borderId="9" fillId="0" fontId="1" numFmtId="0" xfId="0" applyAlignment="1" applyBorder="1" applyFont="1">
      <alignment vertical="bottom"/>
    </xf>
    <xf borderId="0" fillId="6" fontId="1" numFmtId="3" xfId="0" applyAlignment="1" applyFill="1" applyFont="1" applyNumberFormat="1">
      <alignment horizontal="right" vertical="bottom"/>
    </xf>
    <xf borderId="10" fillId="6" fontId="1" numFmtId="3" xfId="0" applyAlignment="1" applyBorder="1" applyFont="1" applyNumberFormat="1">
      <alignment horizontal="right" vertical="bottom"/>
    </xf>
    <xf borderId="9" fillId="0" fontId="1" numFmtId="0" xfId="0" applyAlignment="1" applyBorder="1" applyFont="1">
      <alignment readingOrder="0" vertical="bottom"/>
    </xf>
    <xf borderId="0" fillId="6" fontId="1" numFmtId="164" xfId="0" applyAlignment="1" applyFont="1" applyNumberFormat="1">
      <alignment horizontal="right" vertical="bottom"/>
    </xf>
    <xf borderId="10" fillId="6" fontId="1" numFmtId="164" xfId="0" applyAlignment="1" applyBorder="1" applyFont="1" applyNumberFormat="1">
      <alignment horizontal="right" vertical="bottom"/>
    </xf>
    <xf borderId="0" fillId="6" fontId="1" numFmtId="164" xfId="0" applyAlignment="1" applyFont="1" applyNumberFormat="1">
      <alignment horizontal="right" readingOrder="0" vertical="bottom"/>
    </xf>
    <xf borderId="0" fillId="6" fontId="1" numFmtId="4" xfId="0" applyAlignment="1" applyFont="1" applyNumberFormat="1">
      <alignment horizontal="right" vertical="bottom"/>
    </xf>
    <xf borderId="10" fillId="6" fontId="1" numFmtId="4" xfId="0" applyAlignment="1" applyBorder="1" applyFont="1" applyNumberFormat="1">
      <alignment horizontal="right" vertical="bottom"/>
    </xf>
    <xf borderId="11" fillId="0" fontId="1" numFmtId="0" xfId="0" applyAlignment="1" applyBorder="1" applyFont="1">
      <alignment readingOrder="0" vertical="bottom"/>
    </xf>
    <xf borderId="12" fillId="6" fontId="1" numFmtId="3" xfId="0" applyAlignment="1" applyBorder="1" applyFont="1" applyNumberFormat="1">
      <alignment horizontal="right" vertical="bottom"/>
    </xf>
    <xf borderId="13" fillId="6" fontId="1" numFmtId="3" xfId="0" applyAlignment="1" applyBorder="1" applyFont="1" applyNumberFormat="1">
      <alignment horizontal="right" vertical="bottom"/>
    </xf>
    <xf borderId="6" fillId="7" fontId="3" numFmtId="0" xfId="0" applyAlignment="1" applyBorder="1" applyFill="1" applyFont="1">
      <alignment readingOrder="0" vertical="bottom"/>
    </xf>
    <xf borderId="8" fillId="0" fontId="4" numFmtId="0" xfId="0" applyBorder="1" applyFont="1"/>
    <xf borderId="5" fillId="0" fontId="5" numFmtId="0" xfId="0" applyAlignment="1" applyBorder="1" applyFont="1">
      <alignment readingOrder="0"/>
    </xf>
    <xf borderId="11" fillId="0" fontId="1" numFmtId="0" xfId="0" applyAlignment="1" applyBorder="1" applyFont="1">
      <alignment vertical="bottom"/>
    </xf>
    <xf borderId="5" fillId="0" fontId="7" numFmtId="0" xfId="0" applyBorder="1" applyFont="1"/>
    <xf borderId="10" fillId="5" fontId="1" numFmtId="9" xfId="0" applyAlignment="1" applyBorder="1" applyFont="1" applyNumberFormat="1">
      <alignment horizontal="right" readingOrder="0" vertical="bottom"/>
    </xf>
    <xf borderId="13" fillId="5" fontId="7" numFmtId="9" xfId="0" applyAlignment="1" applyBorder="1" applyFont="1" applyNumberFormat="1">
      <alignment readingOrder="0"/>
    </xf>
    <xf borderId="10" fillId="6" fontId="1" numFmtId="166" xfId="0" applyAlignment="1" applyBorder="1" applyFont="1" applyNumberFormat="1">
      <alignment horizontal="right" vertical="bottom"/>
    </xf>
    <xf borderId="0" fillId="6" fontId="7" numFmtId="0" xfId="0" applyAlignment="1" applyFont="1">
      <alignment readingOrder="0"/>
    </xf>
    <xf borderId="10" fillId="6" fontId="7" numFmtId="0" xfId="0" applyAlignment="1" applyBorder="1" applyFont="1">
      <alignment readingOrder="0"/>
    </xf>
    <xf borderId="0" fillId="6" fontId="7" numFmtId="2" xfId="0" applyAlignment="1" applyFont="1" applyNumberFormat="1">
      <alignment readingOrder="0"/>
    </xf>
    <xf borderId="10" fillId="6" fontId="7" numFmtId="2" xfId="0" applyAlignment="1" applyBorder="1" applyFont="1" applyNumberFormat="1">
      <alignment readingOrder="0"/>
    </xf>
    <xf borderId="0" fillId="6" fontId="7" numFmtId="3" xfId="0" applyAlignment="1" applyFont="1" applyNumberFormat="1">
      <alignment readingOrder="0"/>
    </xf>
    <xf borderId="10" fillId="6" fontId="7" numFmtId="3" xfId="0" applyAlignment="1" applyBorder="1" applyFont="1" applyNumberFormat="1">
      <alignment readingOrder="0"/>
    </xf>
    <xf borderId="12" fillId="6" fontId="7" numFmtId="3" xfId="0" applyAlignment="1" applyBorder="1" applyFont="1" applyNumberFormat="1">
      <alignment readingOrder="0"/>
    </xf>
    <xf borderId="13" fillId="6" fontId="7" numFmtId="3" xfId="0" applyAlignment="1" applyBorder="1" applyFont="1" applyNumberFormat="1">
      <alignment readingOrder="0"/>
    </xf>
    <xf borderId="9" fillId="4" fontId="1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0" fillId="0" fontId="7" numFmtId="167" xfId="0" applyFont="1" applyNumberFormat="1"/>
    <xf borderId="9" fillId="4" fontId="1" numFmtId="0" xfId="0" applyAlignment="1" applyBorder="1" applyFont="1">
      <alignment vertical="bottom"/>
    </xf>
    <xf borderId="0" fillId="0" fontId="1" numFmtId="3" xfId="0" applyAlignment="1" applyFont="1" applyNumberFormat="1">
      <alignment vertical="bottom"/>
    </xf>
    <xf borderId="0" fillId="0" fontId="1" numFmtId="167" xfId="0" applyAlignment="1" applyFont="1" applyNumberFormat="1">
      <alignment vertical="bottom"/>
    </xf>
    <xf borderId="6" fillId="7" fontId="3" numFmtId="0" xfId="0" applyAlignment="1" applyBorder="1" applyFont="1">
      <alignment vertical="bottom"/>
    </xf>
    <xf borderId="8" fillId="7" fontId="3" numFmtId="167" xfId="0" applyAlignment="1" applyBorder="1" applyFont="1" applyNumberFormat="1">
      <alignment readingOrder="0" vertical="bottom"/>
    </xf>
    <xf borderId="7" fillId="0" fontId="7" numFmtId="0" xfId="0" applyBorder="1" applyFont="1"/>
    <xf borderId="8" fillId="0" fontId="7" numFmtId="0" xfId="0" applyBorder="1" applyFont="1"/>
    <xf borderId="8" fillId="7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17" fillId="0" fontId="1" numFmtId="3" xfId="0" applyAlignment="1" applyBorder="1" applyFont="1" applyNumberFormat="1">
      <alignment vertical="bottom"/>
    </xf>
    <xf borderId="7" fillId="0" fontId="4" numFmtId="0" xfId="0" applyBorder="1" applyFont="1"/>
    <xf borderId="0" fillId="0" fontId="7" numFmtId="0" xfId="0" applyFont="1"/>
    <xf borderId="10" fillId="5" fontId="8" numFmtId="0" xfId="0" applyAlignment="1" applyBorder="1" applyFont="1">
      <alignment horizontal="right" readingOrder="0"/>
    </xf>
    <xf borderId="10" fillId="0" fontId="1" numFmtId="167" xfId="0" applyAlignment="1" applyBorder="1" applyFont="1" applyNumberFormat="1">
      <alignment vertical="bottom"/>
    </xf>
    <xf borderId="0" fillId="0" fontId="9" numFmtId="0" xfId="0" applyAlignment="1" applyFont="1">
      <alignment vertical="bottom"/>
    </xf>
    <xf borderId="10" fillId="0" fontId="1" numFmtId="167" xfId="0" applyAlignment="1" applyBorder="1" applyFont="1" applyNumberFormat="1">
      <alignment horizontal="right" vertical="bottom"/>
    </xf>
    <xf borderId="9" fillId="0" fontId="1" numFmtId="0" xfId="0" applyAlignment="1" applyBorder="1" applyFont="1">
      <alignment horizontal="left" vertical="bottom"/>
    </xf>
    <xf borderId="10" fillId="0" fontId="1" numFmtId="168" xfId="0" applyAlignment="1" applyBorder="1" applyFont="1" applyNumberFormat="1">
      <alignment horizontal="right" vertical="bottom"/>
    </xf>
    <xf borderId="0" fillId="0" fontId="1" numFmtId="168" xfId="0" applyAlignment="1" applyFont="1" applyNumberFormat="1">
      <alignment vertical="bottom"/>
    </xf>
    <xf borderId="0" fillId="0" fontId="1" numFmtId="168" xfId="0" applyAlignment="1" applyFont="1" applyNumberFormat="1">
      <alignment horizontal="right" vertical="bottom"/>
    </xf>
    <xf borderId="18" fillId="0" fontId="1" numFmtId="0" xfId="0" applyAlignment="1" applyBorder="1" applyFont="1">
      <alignment vertical="bottom"/>
    </xf>
    <xf borderId="9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7" fontId="3" numFmtId="0" xfId="0" applyAlignment="1" applyFont="1">
      <alignment vertical="bottom"/>
    </xf>
    <xf borderId="0" fillId="7" fontId="3" numFmtId="0" xfId="0" applyAlignment="1" applyFont="1">
      <alignment readingOrder="0" vertical="bottom"/>
    </xf>
    <xf borderId="10" fillId="7" fontId="3" numFmtId="169" xfId="0" applyAlignment="1" applyBorder="1" applyFont="1" applyNumberFormat="1">
      <alignment readingOrder="0" vertical="bottom"/>
    </xf>
    <xf borderId="18" fillId="0" fontId="10" numFmtId="3" xfId="0" applyAlignment="1" applyBorder="1" applyFont="1" applyNumberFormat="1">
      <alignment vertical="bottom"/>
    </xf>
    <xf borderId="19" fillId="0" fontId="10" numFmtId="3" xfId="0" applyAlignment="1" applyBorder="1" applyFont="1" applyNumberFormat="1">
      <alignment horizontal="right" vertical="bottom"/>
    </xf>
    <xf borderId="19" fillId="0" fontId="10" numFmtId="4" xfId="0" applyAlignment="1" applyBorder="1" applyFont="1" applyNumberFormat="1">
      <alignment horizontal="right" vertical="bottom"/>
    </xf>
    <xf borderId="19" fillId="0" fontId="10" numFmtId="169" xfId="0" applyAlignment="1" applyBorder="1" applyFont="1" applyNumberFormat="1">
      <alignment horizontal="right" vertical="bottom"/>
    </xf>
    <xf borderId="20" fillId="0" fontId="10" numFmtId="169" xfId="0" applyAlignment="1" applyBorder="1" applyFont="1" applyNumberFormat="1">
      <alignment horizontal="right" readingOrder="0" vertical="bottom"/>
    </xf>
    <xf borderId="10" fillId="5" fontId="7" numFmtId="3" xfId="0" applyAlignment="1" applyBorder="1" applyFont="1" applyNumberFormat="1">
      <alignment horizontal="right" readingOrder="0"/>
    </xf>
    <xf borderId="0" fillId="0" fontId="1" numFmtId="3" xfId="0" applyAlignment="1" applyFont="1" applyNumberFormat="1">
      <alignment horizontal="right" vertical="bottom"/>
    </xf>
    <xf borderId="13" fillId="5" fontId="8" numFmtId="0" xfId="0" applyAlignment="1" applyBorder="1" applyFont="1">
      <alignment horizontal="right" readingOrder="0"/>
    </xf>
    <xf borderId="10" fillId="8" fontId="1" numFmtId="3" xfId="0" applyAlignment="1" applyBorder="1" applyFill="1" applyFont="1" applyNumberFormat="1">
      <alignment horizontal="right" readingOrder="0" vertical="bottom"/>
    </xf>
    <xf borderId="0" fillId="0" fontId="1" numFmtId="170" xfId="0" applyAlignment="1" applyFont="1" applyNumberFormat="1">
      <alignment vertical="bottom"/>
    </xf>
    <xf borderId="9" fillId="0" fontId="1" numFmtId="0" xfId="0" applyAlignment="1" applyBorder="1" applyFont="1">
      <alignment vertical="top"/>
    </xf>
    <xf borderId="10" fillId="5" fontId="11" numFmtId="0" xfId="0" applyAlignment="1" applyBorder="1" applyFont="1">
      <alignment readingOrder="0" vertical="bottom"/>
    </xf>
    <xf borderId="10" fillId="5" fontId="1" numFmtId="0" xfId="0" applyAlignment="1" applyBorder="1" applyFont="1">
      <alignment readingOrder="0" vertical="top"/>
    </xf>
    <xf borderId="9" fillId="0" fontId="1" numFmtId="0" xfId="0" applyAlignment="1" applyBorder="1" applyFont="1">
      <alignment readingOrder="0" shrinkToFit="0" vertical="bottom" wrapText="1"/>
    </xf>
    <xf borderId="10" fillId="6" fontId="1" numFmtId="169" xfId="0" applyAlignment="1" applyBorder="1" applyFont="1" applyNumberFormat="1">
      <alignment horizontal="right" vertical="bottom"/>
    </xf>
    <xf borderId="13" fillId="5" fontId="1" numFmtId="9" xfId="0" applyAlignment="1" applyBorder="1" applyFont="1" applyNumberFormat="1">
      <alignment horizontal="right" readingOrder="0" vertical="bottom"/>
    </xf>
    <xf borderId="11" fillId="0" fontId="1" numFmtId="0" xfId="0" applyAlignment="1" applyBorder="1" applyFont="1">
      <alignment readingOrder="0" shrinkToFit="0" vertical="bottom" wrapText="1"/>
    </xf>
    <xf borderId="13" fillId="6" fontId="1" numFmtId="169" xfId="0" applyAlignment="1" applyBorder="1" applyFont="1" applyNumberFormat="1">
      <alignment horizontal="right" vertical="bottom"/>
    </xf>
    <xf borderId="11" fillId="9" fontId="7" numFmtId="0" xfId="0" applyAlignment="1" applyBorder="1" applyFill="1" applyFont="1">
      <alignment readingOrder="0"/>
    </xf>
    <xf borderId="13" fillId="6" fontId="7" numFmtId="4" xfId="0" applyBorder="1" applyFont="1" applyNumberFormat="1"/>
    <xf borderId="0" fillId="0" fontId="9" numFmtId="0" xfId="0" applyAlignment="1" applyFont="1">
      <alignment vertical="bottom"/>
    </xf>
    <xf borderId="10" fillId="0" fontId="1" numFmtId="167" xfId="0" applyAlignment="1" applyBorder="1" applyFont="1" applyNumberFormat="1">
      <alignment readingOrder="0" vertical="bottom"/>
    </xf>
    <xf borderId="9" fillId="0" fontId="1" numFmtId="167" xfId="0" applyAlignment="1" applyBorder="1" applyFont="1" applyNumberFormat="1">
      <alignment vertical="center"/>
    </xf>
    <xf borderId="10" fillId="6" fontId="1" numFmtId="3" xfId="0" applyAlignment="1" applyBorder="1" applyFont="1" applyNumberFormat="1">
      <alignment horizontal="right" vertical="center"/>
    </xf>
    <xf borderId="9" fillId="0" fontId="1" numFmtId="0" xfId="0" applyAlignment="1" applyBorder="1" applyFont="1">
      <alignment vertical="center"/>
    </xf>
    <xf borderId="13" fillId="6" fontId="1" numFmtId="4" xfId="0" applyAlignment="1" applyBorder="1" applyFont="1" applyNumberFormat="1">
      <alignment horizontal="right" vertical="bottom"/>
    </xf>
    <xf borderId="9" fillId="0" fontId="1" numFmtId="0" xfId="0" applyAlignment="1" applyBorder="1" applyFont="1">
      <alignment horizontal="left" readingOrder="0" vertical="bottom"/>
    </xf>
    <xf borderId="10" fillId="0" fontId="1" numFmtId="168" xfId="0" applyAlignment="1" applyBorder="1" applyFont="1" applyNumberFormat="1">
      <alignment horizontal="right" readingOrder="0" vertical="bottom"/>
    </xf>
    <xf borderId="0" fillId="0" fontId="1" numFmtId="168" xfId="0" applyAlignment="1" applyFont="1" applyNumberFormat="1">
      <alignment readingOrder="0" vertical="bottom"/>
    </xf>
    <xf borderId="10" fillId="8" fontId="1" numFmtId="169" xfId="0" applyAlignment="1" applyBorder="1" applyFont="1" applyNumberFormat="1">
      <alignment horizontal="right" readingOrder="0" vertical="bottom"/>
    </xf>
    <xf borderId="10" fillId="6" fontId="1" numFmtId="167" xfId="0" applyAlignment="1" applyBorder="1" applyFont="1" applyNumberFormat="1">
      <alignment horizontal="right" vertical="bottom"/>
    </xf>
    <xf borderId="13" fillId="6" fontId="1" numFmtId="167" xfId="0" applyAlignment="1" applyBorder="1" applyFont="1" applyNumberFormat="1">
      <alignment horizontal="right" vertical="bottom"/>
    </xf>
    <xf borderId="19" fillId="0" fontId="10" numFmtId="0" xfId="0" applyAlignment="1" applyBorder="1" applyFont="1">
      <alignment horizontal="right" vertical="bottom"/>
    </xf>
    <xf borderId="19" fillId="0" fontId="10" numFmtId="169" xfId="0" applyAlignment="1" applyBorder="1" applyFont="1" applyNumberFormat="1">
      <alignment horizontal="right" vertical="bottom"/>
    </xf>
    <xf borderId="13" fillId="0" fontId="1" numFmtId="167" xfId="0" applyAlignment="1" applyBorder="1" applyFont="1" applyNumberFormat="1">
      <alignment vertical="bottom"/>
    </xf>
    <xf borderId="12" fillId="0" fontId="1" numFmtId="0" xfId="0" applyAlignment="1" applyBorder="1" applyFont="1">
      <alignment vertical="bottom"/>
    </xf>
    <xf borderId="13" fillId="0" fontId="1" numFmtId="167" xfId="0" applyAlignment="1" applyBorder="1" applyFont="1" applyNumberFormat="1">
      <alignment horizontal="right" vertical="bottom"/>
    </xf>
    <xf borderId="11" fillId="0" fontId="1" numFmtId="0" xfId="0" applyAlignment="1" applyBorder="1" applyFont="1">
      <alignment horizontal="left" vertical="bottom"/>
    </xf>
    <xf borderId="13" fillId="0" fontId="1" numFmtId="168" xfId="0" applyAlignment="1" applyBorder="1" applyFont="1" applyNumberFormat="1">
      <alignment horizontal="right" vertical="bottom"/>
    </xf>
    <xf borderId="12" fillId="0" fontId="1" numFmtId="168" xfId="0" applyAlignment="1" applyBorder="1" applyFont="1" applyNumberFormat="1">
      <alignment vertical="bottom"/>
    </xf>
    <xf borderId="12" fillId="0" fontId="1" numFmtId="168" xfId="0" applyAlignment="1" applyBorder="1" applyFont="1" applyNumberFormat="1">
      <alignment horizontal="right" vertical="bottom"/>
    </xf>
    <xf borderId="19" fillId="0" fontId="10" numFmtId="0" xfId="0" applyAlignment="1" applyBorder="1" applyFont="1">
      <alignment horizontal="right" vertical="bottom"/>
    </xf>
    <xf borderId="19" fillId="0" fontId="12" numFmtId="0" xfId="0" applyAlignment="1" applyBorder="1" applyFont="1">
      <alignment horizontal="right" vertical="bottom"/>
    </xf>
    <xf borderId="21" fillId="0" fontId="10" numFmtId="3" xfId="0" applyAlignment="1" applyBorder="1" applyFont="1" applyNumberFormat="1">
      <alignment vertical="bottom"/>
    </xf>
    <xf borderId="12" fillId="0" fontId="10" numFmtId="0" xfId="0" applyAlignment="1" applyBorder="1" applyFont="1">
      <alignment horizontal="right" vertical="bottom"/>
    </xf>
    <xf borderId="12" fillId="0" fontId="10" numFmtId="4" xfId="0" applyAlignment="1" applyBorder="1" applyFont="1" applyNumberFormat="1">
      <alignment horizontal="right" vertical="bottom"/>
    </xf>
    <xf borderId="13" fillId="0" fontId="10" numFmtId="169" xfId="0" applyAlignment="1" applyBorder="1" applyFont="1" applyNumberFormat="1">
      <alignment horizontal="right" readingOrder="0" vertical="bottom"/>
    </xf>
    <xf borderId="9" fillId="0" fontId="1" numFmtId="0" xfId="0" applyAlignment="1" applyBorder="1" applyFont="1">
      <alignment readingOrder="0" vertical="top"/>
    </xf>
    <xf borderId="10" fillId="5" fontId="1" numFmtId="3" xfId="0" applyAlignment="1" applyBorder="1" applyFont="1" applyNumberFormat="1">
      <alignment horizontal="right" vertical="bottom"/>
    </xf>
    <xf borderId="10" fillId="5" fontId="1" numFmtId="4" xfId="0" applyAlignment="1" applyBorder="1" applyFont="1" applyNumberFormat="1">
      <alignment horizontal="right" readingOrder="0" vertical="bottom"/>
    </xf>
    <xf borderId="10" fillId="5" fontId="1" numFmtId="3" xfId="0" applyAlignment="1" applyBorder="1" applyFont="1" applyNumberFormat="1">
      <alignment horizontal="right" readingOrder="0" vertical="bottom"/>
    </xf>
    <xf borderId="10" fillId="5" fontId="1" numFmtId="169" xfId="0" applyAlignment="1" applyBorder="1" applyFont="1" applyNumberFormat="1">
      <alignment horizontal="right" readingOrder="0" vertical="bottom"/>
    </xf>
    <xf borderId="10" fillId="5" fontId="1" numFmtId="169" xfId="0" applyAlignment="1" applyBorder="1" applyFont="1" applyNumberFormat="1">
      <alignment horizontal="right" readingOrder="0" vertical="bottom"/>
    </xf>
    <xf borderId="0" fillId="0" fontId="7" numFmtId="0" xfId="0" applyAlignment="1" applyFont="1">
      <alignment readingOrder="0"/>
    </xf>
    <xf borderId="22" fillId="8" fontId="7" numFmtId="0" xfId="0" applyAlignment="1" applyBorder="1" applyFont="1">
      <alignment readingOrder="0"/>
    </xf>
    <xf borderId="22" fillId="8" fontId="7" numFmtId="3" xfId="0" applyAlignment="1" applyBorder="1" applyFont="1" applyNumberFormat="1">
      <alignment readingOrder="0"/>
    </xf>
    <xf borderId="10" fillId="8" fontId="7" numFmtId="0" xfId="0" applyAlignment="1" applyBorder="1" applyFont="1">
      <alignment readingOrder="0"/>
    </xf>
    <xf borderId="13" fillId="8" fontId="7" numFmtId="0" xfId="0" applyAlignment="1" applyBorder="1" applyFont="1">
      <alignment readingOrder="0"/>
    </xf>
    <xf borderId="10" fillId="8" fontId="7" numFmtId="9" xfId="0" applyAlignment="1" applyBorder="1" applyFont="1" applyNumberFormat="1">
      <alignment readingOrder="0"/>
    </xf>
    <xf borderId="10" fillId="8" fontId="7" numFmtId="3" xfId="0" applyAlignment="1" applyBorder="1" applyFont="1" applyNumberFormat="1">
      <alignment readingOrder="0"/>
    </xf>
    <xf borderId="13" fillId="8" fontId="7" numFmtId="9" xfId="0" applyAlignment="1" applyBorder="1" applyFont="1" applyNumberFormat="1">
      <alignment readingOrder="0"/>
    </xf>
    <xf borderId="6" fillId="0" fontId="7" numFmtId="0" xfId="0" applyAlignment="1" applyBorder="1" applyFont="1">
      <alignment readingOrder="0"/>
    </xf>
    <xf borderId="8" fillId="8" fontId="7" numFmtId="0" xfId="0" applyAlignment="1" applyBorder="1" applyFont="1">
      <alignment readingOrder="0"/>
    </xf>
    <xf borderId="13" fillId="8" fontId="7" numFmtId="3" xfId="0" applyAlignment="1" applyBorder="1" applyFont="1" applyNumberFormat="1">
      <alignment readingOrder="0"/>
    </xf>
    <xf borderId="8" fillId="8" fontId="7" numFmtId="0" xfId="0" applyBorder="1" applyFont="1"/>
    <xf borderId="10" fillId="8" fontId="7" numFmtId="0" xfId="0" applyBorder="1" applyFont="1"/>
    <xf borderId="13" fillId="8" fontId="7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>
        <color rgb="FFB7B7B7"/>
      </font>
      <fill>
        <patternFill patternType="none"/>
      </fill>
      <border/>
    </dxf>
    <dxf>
      <font>
        <color rgb="FF999999"/>
      </font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923925</xdr:colOff>
      <xdr:row>0</xdr:row>
      <xdr:rowOff>190500</xdr:rowOff>
    </xdr:from>
    <xdr:ext cx="228600" cy="2219325"/>
    <xdr:sp>
      <xdr:nvSpPr>
        <xdr:cNvPr id="3" name="Shape 3"/>
        <xdr:cNvSpPr/>
      </xdr:nvSpPr>
      <xdr:spPr>
        <a:xfrm>
          <a:off x="1898225" y="964350"/>
          <a:ext cx="243600" cy="2304300"/>
        </a:xfrm>
        <a:prstGeom prst="leftBrace">
          <a:avLst>
            <a:gd fmla="val 50000" name="adj1"/>
            <a:gd fmla="val 77973" name="adj2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fc6xDGiZ-rJ0r1VEQnSke7pG-e-FciXRUwr4sntRfa4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aws.amazon.com/AWSEC2/latest/UserGuide/burstable-performance-instances.html" TargetMode="External"/><Relationship Id="rId22" Type="http://schemas.openxmlformats.org/officeDocument/2006/relationships/hyperlink" Target="https://docs.aws.amazon.com/AWSEC2/latest/UserGuide/burstable-performance-instances.html" TargetMode="External"/><Relationship Id="rId21" Type="http://schemas.openxmlformats.org/officeDocument/2006/relationships/hyperlink" Target="https://docs.aws.amazon.com/AWSEC2/latest/UserGuide/burstable-performance-instances.html" TargetMode="External"/><Relationship Id="rId24" Type="http://schemas.openxmlformats.org/officeDocument/2006/relationships/hyperlink" Target="https://docs.aws.amazon.com/AWSEC2/latest/UserGuide/burstable-performance-instances.html" TargetMode="External"/><Relationship Id="rId23" Type="http://schemas.openxmlformats.org/officeDocument/2006/relationships/hyperlink" Target="https://docs.aws.amazon.com/AWSEC2/latest/UserGuide/burstable-performance-instances.html" TargetMode="External"/><Relationship Id="rId1" Type="http://schemas.openxmlformats.org/officeDocument/2006/relationships/hyperlink" Target="https://docs.aws.amazon.com/AWSEC2/latest/UserGuide/burstable-performance-instances.html" TargetMode="External"/><Relationship Id="rId2" Type="http://schemas.openxmlformats.org/officeDocument/2006/relationships/hyperlink" Target="https://docs.aws.amazon.com/AWSEC2/latest/UserGuide/burstable-performance-instances.html" TargetMode="External"/><Relationship Id="rId3" Type="http://schemas.openxmlformats.org/officeDocument/2006/relationships/hyperlink" Target="https://docs.aws.amazon.com/AWSEC2/latest/UserGuide/burstable-performance-instances.html" TargetMode="External"/><Relationship Id="rId4" Type="http://schemas.openxmlformats.org/officeDocument/2006/relationships/hyperlink" Target="https://docs.aws.amazon.com/AWSEC2/latest/UserGuide/burstable-performance-instances.html" TargetMode="External"/><Relationship Id="rId9" Type="http://schemas.openxmlformats.org/officeDocument/2006/relationships/hyperlink" Target="https://docs.aws.amazon.com/AWSEC2/latest/UserGuide/burstable-performance-instances.html" TargetMode="External"/><Relationship Id="rId26" Type="http://schemas.openxmlformats.org/officeDocument/2006/relationships/hyperlink" Target="https://docs.aws.amazon.com/AWSEC2/latest/UserGuide/burstable-performance-instances.html" TargetMode="External"/><Relationship Id="rId25" Type="http://schemas.openxmlformats.org/officeDocument/2006/relationships/hyperlink" Target="https://docs.aws.amazon.com/AWSEC2/latest/UserGuide/burstable-performance-instances.html" TargetMode="External"/><Relationship Id="rId28" Type="http://schemas.openxmlformats.org/officeDocument/2006/relationships/hyperlink" Target="https://docs.aws.amazon.com/AWSEC2/latest/UserGuide/burstable-performance-instances.html" TargetMode="External"/><Relationship Id="rId27" Type="http://schemas.openxmlformats.org/officeDocument/2006/relationships/hyperlink" Target="https://docs.aws.amazon.com/AWSEC2/latest/UserGuide/burstable-performance-instances.html" TargetMode="External"/><Relationship Id="rId5" Type="http://schemas.openxmlformats.org/officeDocument/2006/relationships/hyperlink" Target="https://docs.aws.amazon.com/AWSEC2/latest/UserGuide/burstable-performance-instances.html" TargetMode="External"/><Relationship Id="rId6" Type="http://schemas.openxmlformats.org/officeDocument/2006/relationships/hyperlink" Target="https://docs.aws.amazon.com/AWSEC2/latest/UserGuide/burstable-performance-instances.html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docs.aws.amazon.com/AWSEC2/latest/UserGuide/burstable-performance-instances.html" TargetMode="External"/><Relationship Id="rId8" Type="http://schemas.openxmlformats.org/officeDocument/2006/relationships/hyperlink" Target="https://docs.aws.amazon.com/AWSEC2/latest/UserGuide/burstable-performance-instances.html" TargetMode="External"/><Relationship Id="rId11" Type="http://schemas.openxmlformats.org/officeDocument/2006/relationships/hyperlink" Target="https://docs.aws.amazon.com/AWSEC2/latest/UserGuide/burstable-performance-instances.html" TargetMode="External"/><Relationship Id="rId10" Type="http://schemas.openxmlformats.org/officeDocument/2006/relationships/hyperlink" Target="https://docs.aws.amazon.com/AWSEC2/latest/UserGuide/burstable-performance-instances.html" TargetMode="External"/><Relationship Id="rId13" Type="http://schemas.openxmlformats.org/officeDocument/2006/relationships/hyperlink" Target="https://docs.aws.amazon.com/AWSEC2/latest/UserGuide/burstable-performance-instances.html" TargetMode="External"/><Relationship Id="rId12" Type="http://schemas.openxmlformats.org/officeDocument/2006/relationships/hyperlink" Target="https://docs.aws.amazon.com/AWSEC2/latest/UserGuide/burstable-performance-instances.html" TargetMode="External"/><Relationship Id="rId15" Type="http://schemas.openxmlformats.org/officeDocument/2006/relationships/hyperlink" Target="https://docs.aws.amazon.com/AWSEC2/latest/UserGuide/burstable-performance-instances.html" TargetMode="External"/><Relationship Id="rId14" Type="http://schemas.openxmlformats.org/officeDocument/2006/relationships/hyperlink" Target="https://docs.aws.amazon.com/AWSEC2/latest/UserGuide/burstable-performance-instances.html" TargetMode="External"/><Relationship Id="rId17" Type="http://schemas.openxmlformats.org/officeDocument/2006/relationships/hyperlink" Target="https://docs.aws.amazon.com/AWSEC2/latest/UserGuide/burstable-performance-instances.html" TargetMode="External"/><Relationship Id="rId16" Type="http://schemas.openxmlformats.org/officeDocument/2006/relationships/hyperlink" Target="https://docs.aws.amazon.com/AWSEC2/latest/UserGuide/burstable-performance-instances.html" TargetMode="External"/><Relationship Id="rId19" Type="http://schemas.openxmlformats.org/officeDocument/2006/relationships/hyperlink" Target="https://docs.aws.amazon.com/AWSEC2/latest/UserGuide/burstable-performance-instances.html" TargetMode="External"/><Relationship Id="rId18" Type="http://schemas.openxmlformats.org/officeDocument/2006/relationships/hyperlink" Target="https://docs.aws.amazon.com/AWSEC2/latest/UserGuide/burstable-performance-instances.htm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.88"/>
    <col customWidth="1" min="2" max="2" width="30.25"/>
    <col customWidth="1" min="3" max="4" width="12.25"/>
    <col customWidth="1" min="5" max="5" width="17.38"/>
    <col customWidth="1" min="6" max="7" width="12.25"/>
    <col customWidth="1" min="8" max="8" width="2.88"/>
  </cols>
  <sheetData>
    <row r="1">
      <c r="A1" s="1"/>
      <c r="B1" s="2" t="s">
        <v>0</v>
      </c>
      <c r="H1" s="3"/>
    </row>
    <row r="2">
      <c r="A2" s="1"/>
      <c r="H2" s="3"/>
    </row>
    <row r="3">
      <c r="A3" s="4" t="s">
        <v>1</v>
      </c>
      <c r="B3" s="5"/>
      <c r="C3" s="5"/>
      <c r="D3" s="5"/>
      <c r="E3" s="5"/>
      <c r="F3" s="5"/>
      <c r="G3" s="5"/>
      <c r="H3" s="6"/>
    </row>
    <row r="4" outlineLevel="1">
      <c r="A4" s="7"/>
      <c r="B4" s="8"/>
      <c r="C4" s="8"/>
      <c r="D4" s="8"/>
      <c r="E4" s="8"/>
      <c r="F4" s="8"/>
      <c r="G4" s="8"/>
      <c r="H4" s="9"/>
    </row>
    <row r="5" outlineLevel="1">
      <c r="A5" s="7"/>
      <c r="B5" s="10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2" t="s">
        <v>7</v>
      </c>
      <c r="H5" s="9"/>
    </row>
    <row r="6" outlineLevel="1">
      <c r="A6" s="1"/>
      <c r="B6" s="13" t="s">
        <v>8</v>
      </c>
      <c r="G6" s="14"/>
      <c r="H6" s="9"/>
    </row>
    <row r="7" outlineLevel="1">
      <c r="A7" s="1"/>
      <c r="B7" s="15" t="s">
        <v>9</v>
      </c>
      <c r="C7" s="16">
        <v>3.0</v>
      </c>
      <c r="D7" s="16">
        <v>2.0</v>
      </c>
      <c r="E7" s="16">
        <v>2.0</v>
      </c>
      <c r="F7" s="16">
        <v>2.0</v>
      </c>
      <c r="G7" s="17">
        <v>2.0</v>
      </c>
      <c r="H7" s="9"/>
    </row>
    <row r="8" outlineLevel="1">
      <c r="A8" s="7"/>
      <c r="B8" s="13" t="s">
        <v>10</v>
      </c>
      <c r="G8" s="14"/>
      <c r="H8" s="9"/>
    </row>
    <row r="9" outlineLevel="1">
      <c r="A9" s="7"/>
      <c r="B9" s="15" t="s">
        <v>11</v>
      </c>
      <c r="C9" s="18">
        <v>1024.0</v>
      </c>
      <c r="D9" s="16">
        <v>0.0</v>
      </c>
      <c r="E9" s="16">
        <v>0.0</v>
      </c>
      <c r="F9" s="16">
        <v>0.0</v>
      </c>
      <c r="G9" s="17">
        <v>0.0</v>
      </c>
      <c r="H9" s="9"/>
    </row>
    <row r="10" outlineLevel="1">
      <c r="A10" s="7"/>
      <c r="B10" s="15" t="s">
        <v>12</v>
      </c>
      <c r="C10" s="19">
        <v>1.2E9</v>
      </c>
      <c r="D10" s="20">
        <v>0.0</v>
      </c>
      <c r="E10" s="20">
        <v>0.0</v>
      </c>
      <c r="F10" s="20">
        <v>0.0</v>
      </c>
      <c r="G10" s="21">
        <v>0.0</v>
      </c>
      <c r="H10" s="9"/>
    </row>
    <row r="11" outlineLevel="1">
      <c r="A11" s="7"/>
      <c r="B11" s="13" t="s">
        <v>13</v>
      </c>
      <c r="G11" s="14"/>
      <c r="H11" s="9"/>
    </row>
    <row r="12" outlineLevel="1">
      <c r="A12" s="7"/>
      <c r="B12" s="15" t="s">
        <v>14</v>
      </c>
      <c r="C12" s="22">
        <v>1.0</v>
      </c>
      <c r="D12" s="22">
        <v>1.0</v>
      </c>
      <c r="E12" s="22">
        <v>1.0</v>
      </c>
      <c r="F12" s="22">
        <v>1.0</v>
      </c>
      <c r="G12" s="23">
        <v>1.0</v>
      </c>
      <c r="H12" s="9"/>
    </row>
    <row r="13" outlineLevel="1">
      <c r="A13" s="7"/>
      <c r="B13" s="15" t="s">
        <v>15</v>
      </c>
      <c r="C13" s="24">
        <v>0.0</v>
      </c>
      <c r="D13" s="24">
        <v>0.0</v>
      </c>
      <c r="E13" s="24">
        <v>0.0</v>
      </c>
      <c r="F13" s="24">
        <v>0.0</v>
      </c>
      <c r="G13" s="25">
        <v>0.0</v>
      </c>
      <c r="H13" s="9"/>
    </row>
    <row r="14" outlineLevel="1">
      <c r="A14" s="7"/>
      <c r="B14" s="13" t="s">
        <v>16</v>
      </c>
      <c r="G14" s="14"/>
      <c r="H14" s="9"/>
    </row>
    <row r="15" outlineLevel="1">
      <c r="A15" s="7"/>
      <c r="B15" s="15" t="s">
        <v>17</v>
      </c>
      <c r="C15" s="26">
        <v>0.0</v>
      </c>
      <c r="D15" s="26">
        <v>1.0</v>
      </c>
      <c r="E15" s="26">
        <v>0.0</v>
      </c>
      <c r="F15" s="26">
        <v>0.0</v>
      </c>
      <c r="G15" s="27">
        <v>0.0</v>
      </c>
      <c r="H15" s="9"/>
    </row>
    <row r="16" outlineLevel="1">
      <c r="A16" s="7"/>
      <c r="B16" s="15" t="s">
        <v>18</v>
      </c>
      <c r="C16" s="28">
        <v>1.0</v>
      </c>
      <c r="D16" s="28">
        <v>1.0</v>
      </c>
      <c r="E16" s="28">
        <v>1.0</v>
      </c>
      <c r="F16" s="28">
        <v>1.0</v>
      </c>
      <c r="G16" s="29">
        <v>1.0</v>
      </c>
      <c r="H16" s="9"/>
    </row>
    <row r="17" outlineLevel="1">
      <c r="A17" s="7"/>
      <c r="B17" s="15" t="s">
        <v>19</v>
      </c>
      <c r="C17" s="26">
        <v>400.0</v>
      </c>
      <c r="D17" s="26">
        <v>0.0</v>
      </c>
      <c r="E17" s="26">
        <v>0.0</v>
      </c>
      <c r="F17" s="26">
        <v>0.0</v>
      </c>
      <c r="G17" s="27">
        <v>0.0</v>
      </c>
      <c r="H17" s="9"/>
    </row>
    <row r="18" outlineLevel="1">
      <c r="A18" s="7"/>
      <c r="B18" s="13" t="s">
        <v>20</v>
      </c>
      <c r="G18" s="14"/>
      <c r="H18" s="9"/>
    </row>
    <row r="19" outlineLevel="1">
      <c r="A19" s="7"/>
      <c r="B19" s="15" t="s">
        <v>21</v>
      </c>
      <c r="C19" s="24">
        <v>0.0</v>
      </c>
      <c r="D19" s="24">
        <v>0.0</v>
      </c>
      <c r="E19" s="24">
        <v>0.0</v>
      </c>
      <c r="F19" s="24">
        <v>0.0</v>
      </c>
      <c r="G19" s="25">
        <v>0.0</v>
      </c>
      <c r="H19" s="9"/>
    </row>
    <row r="20" outlineLevel="1">
      <c r="A20" s="7"/>
      <c r="B20" s="15" t="s">
        <v>22</v>
      </c>
      <c r="C20" s="24">
        <v>0.0</v>
      </c>
      <c r="D20" s="24">
        <v>0.0</v>
      </c>
      <c r="E20" s="24">
        <v>0.0</v>
      </c>
      <c r="F20" s="24">
        <v>0.0</v>
      </c>
      <c r="G20" s="25">
        <v>0.0</v>
      </c>
      <c r="H20" s="9"/>
    </row>
    <row r="21" outlineLevel="1">
      <c r="A21" s="7"/>
      <c r="B21" s="15" t="s">
        <v>23</v>
      </c>
      <c r="C21" s="26">
        <v>1000000.0</v>
      </c>
      <c r="D21" s="26">
        <v>0.0</v>
      </c>
      <c r="E21" s="26">
        <v>0.0</v>
      </c>
      <c r="F21" s="26">
        <v>0.0</v>
      </c>
      <c r="G21" s="27">
        <v>0.0</v>
      </c>
      <c r="H21" s="9"/>
    </row>
    <row r="22" outlineLevel="1">
      <c r="A22" s="7"/>
      <c r="B22" s="15" t="s">
        <v>24</v>
      </c>
      <c r="C22" s="26">
        <v>1000000.0</v>
      </c>
      <c r="D22" s="26">
        <v>0.0</v>
      </c>
      <c r="E22" s="26">
        <v>0.0</v>
      </c>
      <c r="F22" s="26">
        <v>0.0</v>
      </c>
      <c r="G22" s="27">
        <v>0.0</v>
      </c>
      <c r="H22" s="9"/>
    </row>
    <row r="23" outlineLevel="1">
      <c r="A23" s="7"/>
      <c r="B23" s="13" t="s">
        <v>25</v>
      </c>
      <c r="G23" s="14"/>
      <c r="H23" s="9"/>
    </row>
    <row r="24" outlineLevel="1">
      <c r="A24" s="7"/>
      <c r="B24" s="15" t="s">
        <v>26</v>
      </c>
      <c r="C24" s="26">
        <v>20000.0</v>
      </c>
      <c r="D24" s="26">
        <v>0.0</v>
      </c>
      <c r="E24" s="26">
        <v>0.0</v>
      </c>
      <c r="F24" s="26">
        <v>0.0</v>
      </c>
      <c r="G24" s="27">
        <v>0.0</v>
      </c>
      <c r="H24" s="9"/>
    </row>
    <row r="25" outlineLevel="1">
      <c r="A25" s="7"/>
      <c r="B25" s="15" t="s">
        <v>27</v>
      </c>
      <c r="C25" s="26">
        <v>80000.0</v>
      </c>
      <c r="D25" s="26">
        <v>0.0</v>
      </c>
      <c r="E25" s="26">
        <v>0.0</v>
      </c>
      <c r="F25" s="26">
        <v>0.0</v>
      </c>
      <c r="G25" s="27">
        <v>0.0</v>
      </c>
      <c r="H25" s="9"/>
    </row>
    <row r="26" outlineLevel="1">
      <c r="A26" s="7"/>
      <c r="B26" s="13" t="s">
        <v>28</v>
      </c>
      <c r="G26" s="14"/>
      <c r="H26" s="9"/>
    </row>
    <row r="27" outlineLevel="1">
      <c r="A27" s="7"/>
      <c r="B27" s="30" t="s">
        <v>29</v>
      </c>
      <c r="C27" s="31" t="s">
        <v>30</v>
      </c>
      <c r="D27" s="31" t="s">
        <v>30</v>
      </c>
      <c r="E27" s="31" t="s">
        <v>30</v>
      </c>
      <c r="F27" s="31" t="s">
        <v>30</v>
      </c>
      <c r="G27" s="32" t="s">
        <v>30</v>
      </c>
      <c r="H27" s="9"/>
    </row>
    <row r="28" outlineLevel="1">
      <c r="A28" s="7"/>
      <c r="B28" s="30" t="s">
        <v>31</v>
      </c>
      <c r="C28" s="31" t="s">
        <v>30</v>
      </c>
      <c r="D28" s="31" t="s">
        <v>30</v>
      </c>
      <c r="E28" s="31" t="s">
        <v>30</v>
      </c>
      <c r="F28" s="31" t="s">
        <v>30</v>
      </c>
      <c r="G28" s="32" t="s">
        <v>30</v>
      </c>
      <c r="H28" s="9"/>
    </row>
    <row r="29" outlineLevel="1">
      <c r="A29" s="7"/>
      <c r="B29" s="30" t="s">
        <v>32</v>
      </c>
      <c r="C29" s="31" t="s">
        <v>33</v>
      </c>
      <c r="D29" s="31" t="s">
        <v>33</v>
      </c>
      <c r="E29" s="31" t="s">
        <v>33</v>
      </c>
      <c r="F29" s="31" t="s">
        <v>33</v>
      </c>
      <c r="G29" s="32" t="s">
        <v>33</v>
      </c>
      <c r="H29" s="9"/>
    </row>
    <row r="30" outlineLevel="1">
      <c r="A30" s="7"/>
      <c r="B30" s="13" t="s">
        <v>34</v>
      </c>
      <c r="G30" s="14"/>
      <c r="H30" s="9"/>
    </row>
    <row r="31" outlineLevel="1">
      <c r="A31" s="7"/>
      <c r="B31" s="33" t="s">
        <v>35</v>
      </c>
      <c r="C31" s="34">
        <v>2.0</v>
      </c>
      <c r="D31" s="34">
        <v>2.0</v>
      </c>
      <c r="E31" s="34">
        <v>2.0</v>
      </c>
      <c r="F31" s="34">
        <v>2.0</v>
      </c>
      <c r="G31" s="35">
        <v>2.0</v>
      </c>
      <c r="H31" s="9"/>
    </row>
    <row r="32" outlineLevel="1">
      <c r="A32" s="36"/>
      <c r="B32" s="37"/>
      <c r="C32" s="37"/>
      <c r="D32" s="37"/>
      <c r="E32" s="37"/>
      <c r="F32" s="37"/>
      <c r="G32" s="37"/>
      <c r="H32" s="38"/>
    </row>
    <row r="33">
      <c r="A33" s="1"/>
      <c r="H33" s="1"/>
    </row>
    <row r="34">
      <c r="A34" s="39" t="s">
        <v>36</v>
      </c>
      <c r="B34" s="5"/>
      <c r="C34" s="5"/>
      <c r="D34" s="5"/>
      <c r="E34" s="5"/>
      <c r="F34" s="5"/>
      <c r="G34" s="5"/>
      <c r="H34" s="6"/>
    </row>
    <row r="35" outlineLevel="1">
      <c r="A35" s="7"/>
      <c r="B35" s="40"/>
      <c r="C35" s="40"/>
      <c r="D35" s="40"/>
      <c r="E35" s="8"/>
      <c r="F35" s="8"/>
      <c r="G35" s="8"/>
      <c r="H35" s="9"/>
    </row>
    <row r="36" outlineLevel="1">
      <c r="A36" s="7"/>
      <c r="B36" s="10" t="s">
        <v>2</v>
      </c>
      <c r="C36" s="11" t="s">
        <v>3</v>
      </c>
      <c r="D36" s="11" t="s">
        <v>4</v>
      </c>
      <c r="E36" s="11" t="s">
        <v>5</v>
      </c>
      <c r="F36" s="11" t="s">
        <v>6</v>
      </c>
      <c r="G36" s="11" t="s">
        <v>7</v>
      </c>
      <c r="H36" s="9"/>
    </row>
    <row r="37" outlineLevel="1">
      <c r="A37" s="7"/>
      <c r="B37" s="41" t="s">
        <v>37</v>
      </c>
      <c r="G37" s="14"/>
      <c r="H37" s="9"/>
    </row>
    <row r="38" outlineLevel="1">
      <c r="A38" s="7"/>
      <c r="B38" s="42" t="s">
        <v>38</v>
      </c>
      <c r="C38" s="43">
        <f>AvgObjSize1 * AvgObjPerRecord1</f>
        <v>1024</v>
      </c>
      <c r="D38" s="43">
        <f>AvgObjSize2 * AvgObjPerRecord2</f>
        <v>0</v>
      </c>
      <c r="E38" s="43">
        <f>AvgObjSize3 * AvgObjPerRecord3</f>
        <v>0</v>
      </c>
      <c r="F38" s="43">
        <f>AvgObjSize4 * AvgObjPerRecord4</f>
        <v>0</v>
      </c>
      <c r="G38" s="44">
        <f>AvgObjSize5 * AvgObjPerRecord5</f>
        <v>0</v>
      </c>
      <c r="H38" s="9"/>
    </row>
    <row r="39" outlineLevel="1">
      <c r="A39" s="7"/>
      <c r="B39" s="42" t="s">
        <v>39</v>
      </c>
      <c r="C39" s="43">
        <f>ObjCount1*AvgObjSize1/GB</f>
        <v>1144.40918</v>
      </c>
      <c r="D39" s="43">
        <f>ObjCount2*AvgObjSize2/GB</f>
        <v>0</v>
      </c>
      <c r="E39" s="43">
        <f>ObjCount3*AvgObjSize3/GB</f>
        <v>0</v>
      </c>
      <c r="F39" s="43">
        <f>ObjCount4*AvgObjSize4/GB</f>
        <v>0</v>
      </c>
      <c r="G39" s="44">
        <f>ObjCount5*AvgObjSize5/GB</f>
        <v>0</v>
      </c>
      <c r="H39" s="9"/>
    </row>
    <row r="40" outlineLevel="1">
      <c r="A40" s="7"/>
      <c r="B40" s="45" t="s">
        <v>40</v>
      </c>
      <c r="C40" s="46">
        <f>IFERROR(ObjCount1/AvgObjPerRecord1, 0)</f>
        <v>1200000000</v>
      </c>
      <c r="D40" s="46">
        <f>IFERROR(ObjCount2/AvgObjPerRecord2, 0)</f>
        <v>0</v>
      </c>
      <c r="E40" s="46">
        <f>IFERROR(ObjCount3/AvgObjPerRecord3, 0)</f>
        <v>0</v>
      </c>
      <c r="F40" s="46">
        <f>IFERROR(ObjCount4/AvgObjPerRecord4, 0)</f>
        <v>0</v>
      </c>
      <c r="G40" s="47">
        <f>IFERROR(ObjCount5/AvgObjPerRecord5, 0)</f>
        <v>0</v>
      </c>
      <c r="H40" s="9"/>
    </row>
    <row r="41" outlineLevel="1">
      <c r="A41" s="7"/>
      <c r="B41" s="41" t="s">
        <v>41</v>
      </c>
      <c r="G41" s="14"/>
      <c r="H41" s="9"/>
    </row>
    <row r="42" outlineLevel="1">
      <c r="A42" s="7"/>
      <c r="B42" s="45" t="s">
        <v>42</v>
      </c>
      <c r="C42" s="43">
        <f>If(PIStorage1="Ram", RecordCount1*PIEntrySize/GB, 0)</f>
        <v>71.52557373</v>
      </c>
      <c r="D42" s="43">
        <f>If(PIStorage2="Ram", RecordCount2*PIEntrySize/GB, 0)</f>
        <v>0</v>
      </c>
      <c r="E42" s="43">
        <f>If(PIStorage3="Ram", RecordCount3*PIEntrySize/GB, 0)</f>
        <v>0</v>
      </c>
      <c r="F42" s="43">
        <f>If(PIStorage4="Ram", RecordCount4*PIEntrySize/GB, 0)</f>
        <v>0</v>
      </c>
      <c r="G42" s="44">
        <f>If(PIStorage5="Ram", RecordCount5*PIEntrySize/GB, 0)</f>
        <v>0</v>
      </c>
      <c r="H42" s="9"/>
    </row>
    <row r="43" outlineLevel="1">
      <c r="A43" s="7"/>
      <c r="B43" s="45" t="s">
        <v>43</v>
      </c>
      <c r="C43" s="43">
        <f>If(PIStorage1="Disk", IFERROR( 2 ^ CEILING( LOG((RecordCount1/(RecordsPerSprig*PIFillFactor))/Partitions, 2), 1), 0), 0)</f>
        <v>0</v>
      </c>
      <c r="D43" s="43">
        <f>If(PIStorage2="Disk", IFERROR( 2 ^ CEILING( LOG((RecordCount2/(RecordsPerSprig*PIFillFactor))/Partitions, 2), 1), 0), 0)</f>
        <v>0</v>
      </c>
      <c r="E43" s="43">
        <f>If(PIStorage3="Disk", IFERROR( 2 ^ CEILING( LOG((RecordCount3/(RecordsPerSprig*PIFillFactor))/Partitions, 2), 1), 0), 0)</f>
        <v>0</v>
      </c>
      <c r="F43" s="43">
        <f>If(PIStorage4="Disk", IFERROR( 2 ^ CEILING( LOG((RecordCount4/(RecordsPerSprig*PIFillFactor))/Partitions, 2), 1), 0), 0)</f>
        <v>0</v>
      </c>
      <c r="G43" s="44">
        <f>If(PIStorage5="Disk", IFERROR( 2 ^ CEILING( LOG((RecordCount5/(RecordsPerSprig*PIFillFactor))/Partitions, 2), 1), 0), 0)</f>
        <v>0</v>
      </c>
      <c r="H43" s="9"/>
    </row>
    <row r="44" outlineLevel="1">
      <c r="A44" s="7"/>
      <c r="B44" s="45" t="s">
        <v>44</v>
      </c>
      <c r="C44" s="43">
        <f>If(PIStorage1="Disk", SprigsPerPartition1*Partitions*SprigSize/GB, 0)</f>
        <v>0</v>
      </c>
      <c r="D44" s="43">
        <f>If(PIStorage2="Disk", SprigsPerPartition2*Partitions*SprigSize/GB, 0)</f>
        <v>0</v>
      </c>
      <c r="E44" s="43">
        <f>If(PIStorage3="Disk", SprigsPerPartition3*Partitions*SprigSize/GB, 0)</f>
        <v>0</v>
      </c>
      <c r="F44" s="43">
        <f>If(PIStorage4="Disk", SprigsPerPartition4*Partitions*SprigSize/GB, 0)</f>
        <v>0</v>
      </c>
      <c r="G44" s="44">
        <f>If(PIStorage5="Disk", SprigsPerPartition5*Partitions*SprigSize/GB, 0)</f>
        <v>0</v>
      </c>
      <c r="H44" s="9"/>
    </row>
    <row r="45" outlineLevel="1">
      <c r="A45" s="7"/>
      <c r="B45" s="41" t="s">
        <v>45</v>
      </c>
      <c r="G45" s="14"/>
      <c r="H45" s="9"/>
    </row>
    <row r="46" outlineLevel="1">
      <c r="A46" s="7"/>
      <c r="B46" s="45" t="s">
        <v>46</v>
      </c>
      <c r="C46" s="48">
        <f>IF(NumberOfSIs1=0, 0, ObjCount1 * SICoverage1)</f>
        <v>0</v>
      </c>
      <c r="D46" s="48">
        <f>IF(NumberOfSIs2=0, 0, ObjCount2 * SICoverage2)</f>
        <v>0</v>
      </c>
      <c r="E46" s="48">
        <f>IF(NumberOfSIs3=0, 0, ObjCount3 * SICoverage3)</f>
        <v>0</v>
      </c>
      <c r="F46" s="48">
        <f>IF(NumberOfSIs4=0, 0, ObjCount4 * SICoverage4)</f>
        <v>0</v>
      </c>
      <c r="G46" s="48">
        <f>IF(NumberOfSIs5=0, 0, ObjCount5 * SICoverage5)</f>
        <v>0</v>
      </c>
      <c r="H46" s="9"/>
    </row>
    <row r="47" outlineLevel="1">
      <c r="A47" s="7"/>
      <c r="B47" s="45" t="s">
        <v>47</v>
      </c>
      <c r="C47" s="43">
        <f>(SIEntries1 * SIEntrySize + SIOverhead) /GB</f>
        <v>0.015625</v>
      </c>
      <c r="D47" s="43">
        <f>(SIEntries2 * SIEntrySize + SIOverhead) /GB</f>
        <v>0.015625</v>
      </c>
      <c r="E47" s="43">
        <f>(SIEntries3 * SIEntrySize + SIOverhead) /GB</f>
        <v>0.015625</v>
      </c>
      <c r="F47" s="43">
        <f>(SIEntries4 * SIEntrySize + SIOverhead) /GB</f>
        <v>0.015625</v>
      </c>
      <c r="G47" s="44">
        <f>(SIEntries5 * SIEntrySize + SIOverhead) /GB</f>
        <v>0.015625</v>
      </c>
      <c r="H47" s="9"/>
    </row>
    <row r="48" outlineLevel="1">
      <c r="A48" s="7"/>
      <c r="B48" s="45" t="s">
        <v>48</v>
      </c>
      <c r="C48" s="43">
        <f>EachSISize1*NumberOfSIs1</f>
        <v>0</v>
      </c>
      <c r="D48" s="43">
        <f>EachSISize2*NumberOfSIs2</f>
        <v>0.015625</v>
      </c>
      <c r="E48" s="43">
        <f>EachSISize3*NumberOfSIs3</f>
        <v>0</v>
      </c>
      <c r="F48" s="43">
        <f>EachSISize4*NumberOfSIs4</f>
        <v>0</v>
      </c>
      <c r="G48" s="44">
        <f>EachSISize5*NumberOfSIs5</f>
        <v>0</v>
      </c>
      <c r="H48" s="9"/>
    </row>
    <row r="49" outlineLevel="1">
      <c r="A49" s="7"/>
      <c r="B49" s="45" t="s">
        <v>49</v>
      </c>
      <c r="C49" s="49">
        <f>IFERROR( If(SIStorage1="Disk", Log(SIEntries1 / Partitions, SIBTreeNodeCapacity * SIFillFactor), 0), 0)</f>
        <v>0</v>
      </c>
      <c r="D49" s="49">
        <f>IFERROR( If(SIStorage2="Disk", Log(SIEntries2 / Partitions, SIBTreeNodeCapacity * SIFillFactor), 0), 0)</f>
        <v>0</v>
      </c>
      <c r="E49" s="49">
        <f>IFERROR( If(SIStorage3="Disk", Log(SIEntries3 * SICoverage3 / Partitions, SIBTreeNodeCapacity * SIFillFactor), 0), 0)</f>
        <v>0</v>
      </c>
      <c r="F49" s="49">
        <f>IFERROR( If(SIStorage4="Disk", Log(SIEntries4 / Partitions, SIBTreeNodeCapacity * SIFillFactor), 0), 0)</f>
        <v>0</v>
      </c>
      <c r="G49" s="50">
        <f>IFERROR( If(SIStorage5="Disk", Log(SIEntries5 / Partitions, SIBTreeNodeCapacity * SIFillFactor), 0), 0)</f>
        <v>0</v>
      </c>
      <c r="H49" s="9"/>
    </row>
    <row r="50" outlineLevel="1">
      <c r="A50" s="7"/>
      <c r="B50" s="41" t="s">
        <v>50</v>
      </c>
      <c r="G50" s="14"/>
      <c r="H50" s="9"/>
    </row>
    <row r="51" outlineLevel="1">
      <c r="A51" s="7"/>
      <c r="B51" s="51" t="s">
        <v>51</v>
      </c>
      <c r="C51" s="52">
        <f>((AvgRecordSize1*(1-CompressionReductionObj1)+ RecordOverhead) * IFERROR(ObjCount1/AvgObjPerRecord1, 0))/GB</f>
        <v>1215.934753</v>
      </c>
      <c r="D51" s="52">
        <f>((AvgRecordSize2*(1-CompressionReductionObj2)+ RecordOverhead) * IFERROR(ObjCount2/AvgObjPerRecord2, 0))/GB</f>
        <v>0</v>
      </c>
      <c r="E51" s="52">
        <f>((AvgRecordSize3*(1-CompressionReductionObj3)+ RecordOverhead) * IFERROR(ObjCount3/AvgObjPerRecord3, 0))/GB</f>
        <v>0</v>
      </c>
      <c r="F51" s="52">
        <f>((AvgRecordSize4*(1-CompressionReductionObj4)+ RecordOverhead) * IFERROR(ObjCount4/AvgObjPerRecord4, 0))/GB</f>
        <v>0</v>
      </c>
      <c r="G51" s="53">
        <f>((AvgRecordSize5*(1-CompressionReductionObj5)+ RecordOverhead) * IFERROR(ObjCount5/AvgObjPerRecord5, 0))/GB</f>
        <v>0</v>
      </c>
      <c r="H51" s="9"/>
    </row>
    <row r="52" outlineLevel="1">
      <c r="A52" s="7"/>
      <c r="H52" s="9"/>
    </row>
    <row r="53" outlineLevel="1">
      <c r="A53" s="7"/>
      <c r="B53" s="54" t="s">
        <v>52</v>
      </c>
      <c r="C53" s="55"/>
      <c r="D53" s="8"/>
      <c r="H53" s="56"/>
    </row>
    <row r="54" outlineLevel="1">
      <c r="A54" s="7"/>
      <c r="B54" s="57" t="s">
        <v>39</v>
      </c>
      <c r="C54" s="53">
        <f>UniqueData1+UniqueData2+UniqueData3+UniqueData4+UniqueData5</f>
        <v>1144.40918</v>
      </c>
      <c r="H54" s="58"/>
    </row>
    <row r="55" outlineLevel="1">
      <c r="A55" s="7"/>
      <c r="H55" s="9"/>
    </row>
    <row r="56" outlineLevel="1">
      <c r="A56" s="7"/>
      <c r="B56" s="10" t="s">
        <v>53</v>
      </c>
      <c r="C56" s="55"/>
      <c r="H56" s="9"/>
    </row>
    <row r="57" outlineLevel="1">
      <c r="A57" s="7"/>
      <c r="B57" s="45" t="s">
        <v>54</v>
      </c>
      <c r="C57" s="59">
        <v>0.5</v>
      </c>
      <c r="H57" s="9"/>
    </row>
    <row r="58" outlineLevel="1">
      <c r="A58" s="7"/>
      <c r="B58" s="45" t="s">
        <v>55</v>
      </c>
      <c r="C58" s="59">
        <v>0.75</v>
      </c>
      <c r="H58" s="9"/>
    </row>
    <row r="59" outlineLevel="1">
      <c r="A59" s="7"/>
      <c r="B59" s="33" t="s">
        <v>56</v>
      </c>
      <c r="C59" s="60">
        <v>0.95</v>
      </c>
      <c r="H59" s="9"/>
    </row>
    <row r="60" outlineLevel="1">
      <c r="A60" s="7"/>
      <c r="H60" s="9"/>
    </row>
    <row r="61" outlineLevel="1">
      <c r="A61" s="7"/>
      <c r="B61" s="54" t="s">
        <v>57</v>
      </c>
      <c r="C61" s="55"/>
      <c r="H61" s="9"/>
    </row>
    <row r="62" outlineLevel="1">
      <c r="A62" s="7"/>
      <c r="B62" s="42" t="s">
        <v>58</v>
      </c>
      <c r="C62" s="44">
        <f>(
 (If(Eq(PIStorage1, "Ram"), PISizeInRam1, 0) + If(Eq(SIStorage1, "Ram"), TotalSISize1, 0) + If(Eq(DataStorage1, "Ram"), DataFootprint1 / DefragOverhead, 0)) * RF_1 + 
 (If(Eq(PIStorage2, "Ram"), PISizeInRam2, 0) + If(Eq(SIStorage2, "Ram"), TotalSISize2, 0) + If(Eq(DataStorage2, "Ram"), DataFootprint2 / DefragOverhead, 0)) * RF_2 + 
 (If(Eq(PIStorage3, "Ram"), PISizeInRam3, 0) + If(Eq(SIStorage3, "Ram"), TotalSISize3, 0) + If(Eq(DataStorage3, "Ram"), DataFootprint3 / DefragOverhead, 0)) * RF_3 + 
 (If(Eq(PIStorage4, "Ram"), PISizeInRam4, 0) + If(Eq(SIStorage4, "Ram"), TotalSISize4, 0) + If(Eq(DataStorage4, "Ram"), DataFootprint4 / DefragOverhead, 0)) * RF_4 + 
 (If(Eq(PIStorage5, "Ram"), PISizeInRam5, 0) + If(Eq(SIStorage5, "Ram"), TotalSISize5, 0) + If(Eq(DataStorage5, "Ram"), DataFootprint5 / DefragOverhead, 0)) * RF_5
) / MemoryUtilisation</f>
        <v>286.1439616</v>
      </c>
      <c r="H62" s="9"/>
    </row>
    <row r="63" outlineLevel="1">
      <c r="A63" s="7"/>
      <c r="B63" s="42" t="s">
        <v>59</v>
      </c>
      <c r="C63" s="44">
        <f>(
 ( (If(Eq(PIStorage1, "Disk"), PISizeOnDisk1) + If(Eq(SIStorage1, "Disk"), TotalSISize1) + If(Eq(DataStorage1, "Disk"), DataFootprint1/DefragOverhead ) ) * RF_1) + 
 ( (If(Eq(PIStorage2, "Disk"), PISizeOnDisk2) + If(Eq(SIStorage2, "Disk"), TotalSISize2) + If(Eq(DataStorage2, "Disk"), DataFootprint2/DefragOverhead ) ) * RF_2) + 
 ( (If(Eq(PIStorage3, "Disk"), PISizeOnDisk3) + If(Eq(SIStorage3, "Disk"), TotalSISize3) + If(Eq(DataStorage3, "Disk"), DataFootprint3/DefragOverhead ) ) * RF_3) + 
 ( (If(Eq(PIStorage4, "Disk"), PISizeOnDisk4) + If(Eq(SIStorage4, "Disk"), TotalSISize4) + If(Eq(DataStorage4, "Disk"), DataFootprint4/DefragOverhead ) ) * RF_4) + 
 ( (If(Eq(PIStorage5, "Disk"), PISizeOnDisk5) + If(Eq(SIStorage5, "Disk"), TotalSISize5) + If(Eq(DataStorage5, "Disk"), DataFootprint5/DefragOverhead ) ) * RF_5) 
) / DiskUtilisation</f>
        <v>7679.587916</v>
      </c>
      <c r="H63" s="9"/>
    </row>
    <row r="64" outlineLevel="1">
      <c r="A64" s="7"/>
      <c r="B64" s="42" t="s">
        <v>60</v>
      </c>
      <c r="C64" s="61">
        <f>IFERROR(C63/C62, "Minimal Ram")</f>
        <v>26.83819667</v>
      </c>
      <c r="H64" s="9"/>
    </row>
    <row r="65" outlineLevel="1">
      <c r="A65" s="7"/>
      <c r="B65" s="51" t="s">
        <v>61</v>
      </c>
      <c r="C65" s="53">
        <f>(If(SIStorage1="Disk", NumberOfSIs1 * Power(227, Min(TargetCachedLevel1, SIDepth1)) * SIEntrySize * Partitions * RF_1 / SIFillFactor / GB, 0)) * RF_1 + 
 (If(SIStorage2="Disk", NumberOfSIs2 * Power(227, Min(TargetCachedLevel2, SIDepth2)) * SIEntrySize * Partitions * RF_2 / SIFillFactor / GB, 0)) * RF_2 + 
 (If(SIStorage3="Disk", NumberOfSIs3 * Power(227, Min(TargetCachedLevel3, SIDepth3)) * SIEntrySize * Partitions * RF_3 / SIFillFactor / GB, 0)) * RF_3 + 
 (If(SIStorage4="Disk", NumberOfSIs4 * Power(227, Min(TargetCachedLevel4, SIDepth4)) * SIEntrySize * Partitions * RF_4 / SIFillFactor / GB, 0)) * RF_4 + 
 (If(SIStorage5="Disk", NumberOfSIs5 * Power(227, Min(TargetCachedLevel5, SIDepth5)) * SIEntrySize * Partitions * RF_5 / SIFillFactor / GB, 0)) * RF_5 </f>
        <v>0</v>
      </c>
      <c r="H65" s="9"/>
    </row>
    <row r="66" outlineLevel="1">
      <c r="A66" s="36"/>
      <c r="B66" s="37"/>
      <c r="C66" s="37"/>
      <c r="D66" s="37"/>
      <c r="E66" s="37"/>
      <c r="F66" s="37"/>
      <c r="G66" s="37"/>
      <c r="H66" s="38"/>
    </row>
    <row r="67">
      <c r="A67" s="1"/>
      <c r="H67" s="1"/>
    </row>
    <row r="68">
      <c r="A68" s="39" t="s">
        <v>62</v>
      </c>
      <c r="B68" s="5"/>
      <c r="C68" s="5"/>
      <c r="D68" s="5"/>
      <c r="E68" s="5"/>
      <c r="F68" s="5"/>
      <c r="G68" s="5"/>
      <c r="H68" s="6"/>
    </row>
    <row r="69" outlineLevel="1">
      <c r="A69" s="7"/>
      <c r="B69" s="40"/>
      <c r="C69" s="40"/>
      <c r="D69" s="40"/>
      <c r="E69" s="40"/>
      <c r="F69" s="40"/>
      <c r="G69" s="40"/>
      <c r="H69" s="9"/>
    </row>
    <row r="70" outlineLevel="1">
      <c r="A70" s="7"/>
      <c r="B70" s="10" t="s">
        <v>2</v>
      </c>
      <c r="C70" s="11" t="s">
        <v>3</v>
      </c>
      <c r="D70" s="11" t="s">
        <v>4</v>
      </c>
      <c r="E70" s="11" t="s">
        <v>5</v>
      </c>
      <c r="F70" s="11" t="s">
        <v>6</v>
      </c>
      <c r="G70" s="11" t="s">
        <v>7</v>
      </c>
      <c r="H70" s="9"/>
    </row>
    <row r="71" outlineLevel="1">
      <c r="A71" s="7"/>
      <c r="B71" s="41" t="s">
        <v>63</v>
      </c>
      <c r="G71" s="14"/>
      <c r="H71" s="9"/>
    </row>
    <row r="72" outlineLevel="1">
      <c r="A72" s="7"/>
      <c r="B72" s="15" t="s">
        <v>64</v>
      </c>
      <c r="C72" s="62">
        <f>If(DataStorage1="Disk", 1, 0) * RF_1</f>
        <v>3</v>
      </c>
      <c r="D72" s="62">
        <f>If(DataStorage2="Disk", 1, 0) * RF_2</f>
        <v>2</v>
      </c>
      <c r="E72" s="62">
        <f>If(DataStorage3="Disk", 1, 0) * RF_3</f>
        <v>2</v>
      </c>
      <c r="F72" s="62">
        <f>If(DataStorage4="Disk", 1, 0) * RF_4</f>
        <v>2</v>
      </c>
      <c r="G72" s="63">
        <f>If(DataStorage5="Disk", 1, 0) * RF_5</f>
        <v>2</v>
      </c>
      <c r="H72" s="9"/>
    </row>
    <row r="73" outlineLevel="1">
      <c r="A73" s="7"/>
      <c r="B73" s="15" t="s">
        <v>65</v>
      </c>
      <c r="C73" s="64">
        <f>If(DataStorage1="Disk", (1-NotFoundRate1) * (1-PageCacheRate1), 0)</f>
        <v>1</v>
      </c>
      <c r="D73" s="64">
        <f>If(DataStorage2="Disk", (1-NotFoundRate2) * (1-PageCacheRate2), 0)</f>
        <v>1</v>
      </c>
      <c r="E73" s="64">
        <f>If(DataStorage3="Disk", (1-NotFoundRate3) * (1-PageCacheRate3), 0)</f>
        <v>1</v>
      </c>
      <c r="F73" s="64">
        <f>If(DataStorage4="Disk", (1-NotFoundRate4) * (1-PageCacheRate4), 0)</f>
        <v>1</v>
      </c>
      <c r="G73" s="65">
        <f>If(DataStorage5="Disk", (1-NotFoundRate5) * (1-PageCacheRate5), 0)</f>
        <v>1</v>
      </c>
      <c r="H73" s="9"/>
    </row>
    <row r="74" outlineLevel="1">
      <c r="A74" s="7"/>
      <c r="B74" s="41" t="s">
        <v>66</v>
      </c>
      <c r="G74" s="14"/>
      <c r="H74" s="9"/>
    </row>
    <row r="75" outlineLevel="1">
      <c r="A75" s="7"/>
      <c r="B75" s="15" t="s">
        <v>67</v>
      </c>
      <c r="C75" s="62">
        <f>If(PIStorage1="Disk", 2, 0) * RF_1</f>
        <v>0</v>
      </c>
      <c r="D75" s="62">
        <f>If(PIStorage2="Disk", 2, 0) * RF_2</f>
        <v>0</v>
      </c>
      <c r="E75" s="62">
        <f>If(PIStorage3="Disk", 2, 0) * RF_3</f>
        <v>0</v>
      </c>
      <c r="F75" s="62">
        <f>If(PIStorage4="Disk", 2, 0) * RF_4</f>
        <v>0</v>
      </c>
      <c r="G75" s="63">
        <f>If(PIStorage5="Disk", 2, 0) * RF_5</f>
        <v>0</v>
      </c>
      <c r="H75" s="9"/>
    </row>
    <row r="76" outlineLevel="1">
      <c r="A76" s="7"/>
      <c r="B76" s="15" t="s">
        <v>68</v>
      </c>
      <c r="C76" s="62">
        <f>If(PIStorage1="Disk", 3, 0) * RF_1</f>
        <v>0</v>
      </c>
      <c r="D76" s="62">
        <f>If(PIStorage2="Disk", 3, 0) * RF_2</f>
        <v>0</v>
      </c>
      <c r="E76" s="62">
        <f>If(PIStorage3="Disk", 3, 0) * RF_3</f>
        <v>0</v>
      </c>
      <c r="F76" s="62">
        <f>If(PIStorage4="Disk", 3, 0) * RF_4</f>
        <v>0</v>
      </c>
      <c r="G76" s="63">
        <f>If(PIStorage5="Disk", 3, 0) * RF_5</f>
        <v>0</v>
      </c>
      <c r="H76" s="9"/>
    </row>
    <row r="77" outlineLevel="1">
      <c r="A77" s="7"/>
      <c r="B77" s="15" t="s">
        <v>69</v>
      </c>
      <c r="C77" s="62">
        <f>If(PIStorage1="Disk", 1, 0)</f>
        <v>0</v>
      </c>
      <c r="D77" s="62">
        <f>If(PIStorage2="Disk", 1, 0)</f>
        <v>0</v>
      </c>
      <c r="E77" s="62">
        <f>If(PIStorage3="Disk", 1, 0)</f>
        <v>0</v>
      </c>
      <c r="F77" s="62">
        <f>If(PIStorage4="Disk", 1, 0)</f>
        <v>0</v>
      </c>
      <c r="G77" s="63">
        <f>If(PIStorage5="Disk", 1, 0)</f>
        <v>0</v>
      </c>
      <c r="H77" s="9"/>
    </row>
    <row r="78" outlineLevel="1">
      <c r="A78" s="7"/>
      <c r="B78" s="41" t="s">
        <v>70</v>
      </c>
      <c r="G78" s="14"/>
      <c r="H78" s="9"/>
    </row>
    <row r="79" outlineLevel="1">
      <c r="A79" s="7"/>
      <c r="B79" s="15" t="s">
        <v>71</v>
      </c>
      <c r="C79" s="66">
        <f>If(SIStorage1="Disk", 1, 0) * RF_1</f>
        <v>0</v>
      </c>
      <c r="D79" s="66">
        <f>If(SIStorage2="Disk", 1, 0) * RF_2</f>
        <v>0</v>
      </c>
      <c r="E79" s="66">
        <f>If(SIStorage3="Disk", 1, 0) * RF_3</f>
        <v>0</v>
      </c>
      <c r="F79" s="66">
        <f>If(SIStorage4="Disk", 1, 0) * RF_4</f>
        <v>0</v>
      </c>
      <c r="G79" s="67">
        <f>If(SIStorage5="Disk", 1, 0) * RF_5</f>
        <v>0</v>
      </c>
      <c r="H79" s="9"/>
    </row>
    <row r="80" outlineLevel="1">
      <c r="A80" s="7"/>
      <c r="B80" s="15" t="s">
        <v>72</v>
      </c>
      <c r="C80" s="66">
        <f>IFERROR(If(SIStorage1="Disk", Ceiling(LOG(SIEntries1/Partitions, SIBTreeNodeCapacity*PIFillFactor),1), 0), 0) * RF_1</f>
        <v>0</v>
      </c>
      <c r="D80" s="66">
        <f>IFERROR(If(SIStorage2="Disk", Ceiling(LOG(SIEntries2/Partitions, SIBTreeNodeCapacity*PIFillFactor),1), 0),0) * RF_2</f>
        <v>0</v>
      </c>
      <c r="E80" s="66">
        <f>IFERROR(If(SIStorage3="Disk", Ceiling(LOG(SIEntries3/Partitions, SIBTreeNodeCapacity*PIFillFactor),1), 0), 0) * RF_3</f>
        <v>0</v>
      </c>
      <c r="F80" s="66">
        <f>IFERROR(If(SIStorage4="Disk", Ceiling(LOG(SIEntries4/Partitions, SIBTreeNodeCapacity*PIFillFactor),1), 0), 0) * RF_4</f>
        <v>0</v>
      </c>
      <c r="G80" s="67">
        <f>IFERROR(If(SIStorage5="Disk", Ceiling(LOG(SIEntries5/Partitions, SIBTreeNodeCapacity*PIFillFactor),1), 0), 0) * RF_5</f>
        <v>0</v>
      </c>
      <c r="H80" s="9"/>
    </row>
    <row r="81" outlineLevel="1">
      <c r="A81" s="7"/>
      <c r="B81" s="33" t="s">
        <v>73</v>
      </c>
      <c r="C81" s="68">
        <f>IFERROR(If(SIStorage1="Disk", Ceiling(Partitions * Max((LOG(SIEntries1/Partitions, SIBTreeNodeCapacity*SIFillFactor)-TargetCachedLevel1), 0),1), 0), 0)</f>
        <v>0</v>
      </c>
      <c r="D81" s="68">
        <f>IFERROR(If(SIStorage2="Disk", Ceiling(Partitions * MAX((LOG(SIEntries2/Partitions, SIBTreeNodeCapacity*SIFillFactor)-TargetCachedLevel1), 0),1), 0), 0)</f>
        <v>0</v>
      </c>
      <c r="E81" s="68">
        <f>IFERROR(If(SIStorage3="Disk", Ceiling(Partitions * MAX((LOG(SIEntries3/Partitions, SIBTreeNodeCapacity*SIFillFactor)-TargetCachedLevel1), 0),1), 0), 0)</f>
        <v>0</v>
      </c>
      <c r="F81" s="68">
        <f>IFERROR(If(SIStorage4="Disk", Ceiling(Partitions * MAX((LOG(SIEntries4/Partitions, SIBTreeNodeCapacity*SIFillFactor)-TargetCachedLevel1), 0),1), 0), 0)</f>
        <v>0</v>
      </c>
      <c r="G81" s="69">
        <f>IFERROR(If(SIStorage5="Disk", Ceiling(Partitions * MAX((LOG(SIEntries5/Partitions, SIBTreeNodeCapacity*SIFillFactor)-TargetCachedLevel1), 0),1), 0), 0)</f>
        <v>0</v>
      </c>
      <c r="H81" s="9"/>
    </row>
    <row r="82" outlineLevel="1">
      <c r="A82" s="7"/>
      <c r="H82" s="9"/>
    </row>
    <row r="83" outlineLevel="1">
      <c r="A83" s="7"/>
      <c r="B83" s="10" t="s">
        <v>2</v>
      </c>
      <c r="C83" s="11" t="s">
        <v>3</v>
      </c>
      <c r="D83" s="11" t="s">
        <v>4</v>
      </c>
      <c r="E83" s="11" t="s">
        <v>5</v>
      </c>
      <c r="F83" s="11" t="s">
        <v>6</v>
      </c>
      <c r="G83" s="11" t="s">
        <v>7</v>
      </c>
      <c r="H83" s="9"/>
    </row>
    <row r="84" outlineLevel="1">
      <c r="A84" s="7"/>
      <c r="B84" s="70" t="s">
        <v>74</v>
      </c>
      <c r="G84" s="14"/>
      <c r="H84" s="9"/>
    </row>
    <row r="85" outlineLevel="1">
      <c r="A85" s="7"/>
      <c r="B85" s="71" t="s">
        <v>75</v>
      </c>
      <c r="C85" s="43">
        <f>(PeakObjWPS1 * DataWriteIOPerWrite1 * (AvgRecordSize1*(1-CompressionReductionObj1) + RecordOverhead) + 
 PeakObjWPS1 * PIWriteIOPerWrite1 * DiskBlockSize +
 PeakObjWPS1 * NumberOfSIs1 * SIWriteIOPerWrite1 * DiskBlockSize) / MB</f>
        <v>249.0234375</v>
      </c>
      <c r="D85" s="43">
        <f>(PeakObjWPS2 * DataWriteIOPerWrite2 * (AvgRecordSize2*(1-CompressionReductionObj2) + RecordOverhead) +
 PeakObjWPS2 * PIWriteIOPerWrite2 * DiskBlockSize +
 PeakObjWPS2 * NumberOfSIs2 * SIWriteIOPerWrite2 * DiskBlockSize) / MB </f>
        <v>0</v>
      </c>
      <c r="E85" s="43">
        <f>(PeakObjWPS3 * DataWriteIOPerWrite3 * (AvgRecordSize3*(1-CompressionReductionObj3) + RecordOverhead) +
 PeakObjWPS3 * PIWriteIOPerWrite3 * DiskBlockSize +
 PeakObjWPS3 * NumberOfSIs3 * SIWriteIOPerWrite3 * DiskBlockSize) / MB </f>
        <v>0</v>
      </c>
      <c r="F85" s="43">
        <f>(PeakObjWPS4 * DataWriteIOPerWrite4 * (AvgRecordSize4*(1-CompressionReductionObj4) + RecordOverhead) +
 PeakObjWPS4 * PIWriteIOPerWrite4 * DiskBlockSize +
 PeakObjWPS4 * NumberOfSIs4 * SIWriteIOPerWrite4 * DiskBlockSize) / MB </f>
        <v>0</v>
      </c>
      <c r="G85" s="44">
        <f>(PeakObjWPS5 * DataWriteIOPerWrite5 * (AvgRecordSize5*(1-CompressionReductionObj5) + RecordOverhead) +
 PeakObjWPS5 * PIWriteIOPerWrite5 * DiskBlockSize +
 PeakObjWPS5 * NumberOfSIs5 * SIWriteIOPerWrite5 * DiskBlockSize) / MB </f>
        <v>0</v>
      </c>
      <c r="H85" s="9"/>
    </row>
    <row r="86" outlineLevel="1">
      <c r="A86" s="7"/>
      <c r="B86" s="71" t="s">
        <v>76</v>
      </c>
      <c r="C86" s="43">
        <f>(PeakObjRPS1 * DataReadIOPerRead1 * Ceiling((AvgRecordSize1*(1-CompressionReductionObj1)+ RecordOverhead)/DiskBlockSize,1)*DiskBlockSize +
 PeakObjWPS1 * PIReadIOPerWrite1 * DiskBlockSize +
 PeakObjRPS1 * PIReadIOPerRead1 * DiskBlockSize +
 PeakObjWPS1 * NumberOfSIs1 * SIReadIOPerWrite1 * DiskBlockSize +
 PeakSIQPS1 * SIReadIOPerQuery1 * DiskBlockSize) / MB</f>
        <v>3906.25</v>
      </c>
      <c r="D86" s="43">
        <f>(PeakObjRPS2 * DataReadIOPerRead2 * Ceiling((AvgRecordSize2*(1-CompressionReductionObj2)+ RecordOverhead) /DiskBlockSize,1)*DiskBlockSize +
 PeakObjWPS2 * PIReadIOPerWrite2 * DiskBlockSize +
 PeakObjRPS2 * PIReadIOPerRead2 * DiskBlockSize +
 PeakObjWPS2 * NumberOfSIs2 * SIReadIOPerWrite2 * DiskBlockSize +
 PeakSIQPS2 * SIReadIOPerQuery2 * DiskBlockSize) / MB </f>
        <v>0</v>
      </c>
      <c r="E86" s="43">
        <f>(PeakObjRPS3 * DataReadIOPerRead3 * Ceiling((AvgRecordSize3*(1-CompressionReductionObj3)+ RecordOverhead)/DiskBlockSize,1)*DiskBlockSize +
 PeakObjWPS3 * PIReadIOPerWrite3 * DiskBlockSize +
 PeakObjRPS3 * PIReadIOPerRead3 * DiskBlockSize +
 PeakObjWPS3 * NumberOfSIs3 * SIReadIOPerWrite3 * DiskBlockSize +
 PeakSIQPS3 * SIReadIOPerQuery3 * DiskBlockSize) / MB </f>
        <v>0</v>
      </c>
      <c r="F86" s="43">
        <f>(PeakObjRPS4 * DataReadIOPerRead4 * Ceiling((AvgRecordSize4*(1-CompressionReductionObj4)+ RecordOverhead)/DiskBlockSize,1)*DiskBlockSize +
 PeakObjWPS4 * PIReadIOPerWrite4 * DiskBlockSize +
 PeakObjRPS4 * PIReadIOPerRead4 * DiskBlockSize +
 PeakObjWPS4 * NumberOfSIs4 * SIReadIOPerWrite4 * DiskBlockSize +
 PeakSIQPS4 * SIReadIOPerQuery4 * DiskBlockSize) / MB </f>
        <v>0</v>
      </c>
      <c r="G86" s="44">
        <f>(PeakObjRPS5 * DataReadIOPerRead5 * Ceiling((AvgRecordSize5*(1-CompressionReductionObj5)+ RecordOverhead)/DiskBlockSize,1)*DiskBlockSize +
 PeakObjWPS5 * PIReadIOPerWrite5 * DiskBlockSize +
 PeakObjRPS5 * PIReadIOPerRead5 * DiskBlockSize +
 PeakObjWPS5 * NumberOfSIs5 * SIReadIOPerWrite5 * DiskBlockSize +
 PeakSIQPS5 * SIReadIOPerQuery5 * DiskBlockSize) / MB </f>
        <v>0</v>
      </c>
      <c r="H86" s="9"/>
    </row>
    <row r="87" outlineLevel="1">
      <c r="A87" s="7"/>
      <c r="B87" s="70" t="s">
        <v>77</v>
      </c>
      <c r="G87" s="14"/>
      <c r="H87" s="9"/>
    </row>
    <row r="88" outlineLevel="1">
      <c r="A88" s="7"/>
      <c r="B88" s="71" t="s">
        <v>78</v>
      </c>
      <c r="C88" s="43">
        <f>(Ceiling((PeakObjWPS1 * DataWriteIOPerWrite1 * (AvgRecordSize1*(1-CompressionReductionObj1)+ RecordOverhead))/WriteBlockSize,1)*WriteBlockSize/DiskBlockSize +
PeakObjWPS1 * PIWriteIOPerWrite1 +
PeakObjWPS1 * NumberOfSIs1 * SIWriteIOPerWrite1) / 1000</f>
        <v>65.536</v>
      </c>
      <c r="D88" s="43">
        <f>(Ceiling((PeakObjWPS2 * DataWriteIOPerWrite2 * (AvgRecordSize2*(1-CompressionReductionObj2)+ RecordOverhead))/WriteBlockSize,1) * WriteBlockSize / DiskBlockSize +
PeakObjWPS2 * PIWriteIOPerWrite2 +
PeakObjWPS2 * NumberOfSIs2 * SIWriteIOPerWrite2) / 1000</f>
        <v>0</v>
      </c>
      <c r="E88" s="43">
        <f>(Ceiling((PeakObjWPS3 * DataWriteIOPerWrite3 * (AvgRecordSize3*(1-CompressionReductionObj3)+ RecordOverhead))/WriteBlockSize,1) * WriteBlockSize / DiskBlockSize +
PeakObjWPS3 * PIWriteIOPerWrite3 +
PeakObjWPS3 * NumberOfSIs3 * SIWriteIOPerWrite3) / 1000</f>
        <v>0</v>
      </c>
      <c r="F88" s="43">
        <f>(Ceiling((PeakObjWPS4 * DataWriteIOPerWrite4 * (AvgRecordSize4*(1-CompressionReductionObj4)+ RecordOverhead))/WriteBlockSize,1) * WriteBlockSize / DiskBlockSize +
PeakObjWPS4 * PIWriteIOPerWrite4 +
PeakObjWPS4 * NumberOfSIs4 * SIWriteIOPerWrite4) / 1000</f>
        <v>0</v>
      </c>
      <c r="G88" s="44">
        <f>(Ceiling((PeakObjWPS5 * DataWriteIOPerWrite5 * (AvgRecordSize5*(1-CompressionReductionObj5)+ RecordOverhead))/WriteBlockSize,1) * WriteBlockSize / DiskBlockSize +
PeakObjWPS5 * PIWriteIOPerWrite5 +
PeakObjWPS5 * NumberOfSIs5 * SIWriteIOPerWrite5) / 1000</f>
        <v>0</v>
      </c>
      <c r="H88" s="9"/>
    </row>
    <row r="89" outlineLevel="1">
      <c r="A89" s="7"/>
      <c r="B89" s="72" t="s">
        <v>79</v>
      </c>
      <c r="C89" s="52">
        <f>(PeakObjRPS1 * DataReadIOPerRead1 * Ceiling((AvgRecordSize1*(1-CompressionReductionObj1)+ RecordOverhead)/DiskBlockSize,1) +
PeakObjWPS1 * PIReadIOPerWrite1 +
PeakObjRPS1 * PIReadIOPerRead1 +
PeakObjWPS1 * NumberOfSIs1 * SIReadIOPerWrite1 +
PeakSIQPS1 * SIReadIOPerQuery1) / 1000</f>
        <v>1000</v>
      </c>
      <c r="D89" s="52">
        <f>(PeakObjRPS2 * DataReadIOPerRead2 * Ceiling((AvgRecordSize2*(1-CompressionReductionObj2)+ RecordOverhead)/DiskBlockSize,1) +
PeakObjWPS2 * PIReadIOPerWrite2 +
PeakObjRPS2 * PIReadIOPerRead2 +
PeakObjWPS2 * NumberOfSIs2 * SIReadIOPerWrite2 +
PeakSIQPS2 * SIReadIOPerQuery2) / 1000</f>
        <v>0</v>
      </c>
      <c r="E89" s="52">
        <f>(PeakObjRPS3 * DataReadIOPerRead3 * Ceiling((AvgRecordSize3*(1-CompressionReductionObj3)+ RecordOverhead)/DiskBlockSize,1) +
PeakObjWPS3 * PIReadIOPerWrite3 +
PeakObjRPS3 * PIReadIOPerRead3 +
PeakObjWPS3 * NumberOfSIs3 * SIReadIOPerWrite3 +
PeakSIQPS3 * SIReadIOPerQuery3) / 1000</f>
        <v>0</v>
      </c>
      <c r="F89" s="52">
        <f>(PeakObjRPS4 * DataReadIOPerRead4 * Ceiling((AvgRecordSize4*(1-CompressionReductionObj4)+ RecordOverhead)/DiskBlockSize,1) +
PeakObjWPS4 * PIReadIOPerWrite4 +
PeakObjRPS4 * PIReadIOPerRead4 +
PeakObjWPS4 * NumberOfSIs4 * SIReadIOPerWrite4 +
PeakSIQPS4 * SIReadIOPerQuery4) / 1000</f>
        <v>0</v>
      </c>
      <c r="G89" s="53">
        <f>(PeakObjRPS5 * DataReadIOPerRead5 * Ceiling((AvgRecordSize5*(1-CompressionReductionObj5)+ RecordOverhead)/DiskBlockSize,1) +
PeakObjWPS5 * PIReadIOPerWrite5 +
PeakObjRPS5 * PIReadIOPerRead5 +
PeakObjWPS5 * NumberOfSIs5 * SIReadIOPerWrite5 +
PeakSIQPS5 * SIReadIOPerQuery5) / 1000</f>
        <v>0</v>
      </c>
      <c r="H89" s="9"/>
    </row>
    <row r="90" outlineLevel="1">
      <c r="A90" s="7"/>
      <c r="B90" s="3"/>
      <c r="C90" s="3"/>
      <c r="E90" s="73"/>
      <c r="F90" s="73"/>
      <c r="G90" s="73"/>
      <c r="H90" s="9"/>
    </row>
    <row r="91" outlineLevel="1">
      <c r="A91" s="7"/>
      <c r="B91" s="54" t="s">
        <v>80</v>
      </c>
      <c r="C91" s="55"/>
      <c r="H91" s="9"/>
    </row>
    <row r="92" outlineLevel="1">
      <c r="A92" s="7"/>
      <c r="B92" s="74" t="s">
        <v>74</v>
      </c>
      <c r="C92" s="14"/>
      <c r="H92" s="9"/>
    </row>
    <row r="93" outlineLevel="1">
      <c r="A93" s="7"/>
      <c r="B93" s="42" t="s">
        <v>75</v>
      </c>
      <c r="C93" s="44">
        <f> PeakDiskWriteThroughput1 + PeakDiskWriteThroughput2 + PeakDiskWriteThroughput3 + PeakDiskWriteThroughput4 + PeakDiskWriteThroughput5</f>
        <v>249.0234375</v>
      </c>
      <c r="H93" s="9"/>
    </row>
    <row r="94" outlineLevel="1">
      <c r="A94" s="7"/>
      <c r="B94" s="42" t="s">
        <v>76</v>
      </c>
      <c r="C94" s="44">
        <f> PeakDiskReadThroughput1 + PeakDiskReadThroughput2 + PeakDiskReadThroughput3 + PeakDiskReadThroughput4 + PeakDiskReadThroughput5</f>
        <v>3906.25</v>
      </c>
      <c r="H94" s="9"/>
    </row>
    <row r="95" outlineLevel="1">
      <c r="A95" s="7"/>
      <c r="B95" s="74" t="s">
        <v>77</v>
      </c>
      <c r="C95" s="14"/>
      <c r="H95" s="9"/>
    </row>
    <row r="96" outlineLevel="1">
      <c r="A96" s="7"/>
      <c r="B96" s="42" t="s">
        <v>78</v>
      </c>
      <c r="C96" s="44">
        <f> PeakDiskWriteIOPS1 + PeakDiskWriteIOPS2 + PeakDiskWriteIOPS3 + PeakDiskWriteIOPS4 + PeakDiskWriteIOPS5</f>
        <v>65.536</v>
      </c>
      <c r="H96" s="9"/>
    </row>
    <row r="97" outlineLevel="1">
      <c r="A97" s="7"/>
      <c r="B97" s="57" t="s">
        <v>79</v>
      </c>
      <c r="C97" s="53">
        <f> PeakDiskReadIOPS1 + PeakDiskReadIOPS2 + PeakDiskReadIOPS3 + PeakDiskReadIOPS4 + PeakDiskReadIOPS5</f>
        <v>1000</v>
      </c>
      <c r="H97" s="9"/>
    </row>
    <row r="98" outlineLevel="1">
      <c r="A98" s="36"/>
      <c r="B98" s="37"/>
      <c r="C98" s="37"/>
      <c r="D98" s="37"/>
      <c r="E98" s="37"/>
      <c r="F98" s="37"/>
      <c r="G98" s="37"/>
      <c r="H98" s="38"/>
    </row>
    <row r="99">
      <c r="A99" s="1"/>
      <c r="H99" s="1"/>
    </row>
    <row r="100">
      <c r="A100" s="1"/>
      <c r="H100" s="1"/>
    </row>
    <row r="101">
      <c r="A101" s="1"/>
      <c r="H101" s="1"/>
    </row>
    <row r="102">
      <c r="A102" s="1"/>
      <c r="H102" s="1"/>
    </row>
    <row r="103">
      <c r="A103" s="1"/>
      <c r="H103" s="1"/>
    </row>
    <row r="104">
      <c r="A104" s="1"/>
      <c r="H104" s="1"/>
    </row>
    <row r="105">
      <c r="A105" s="1"/>
      <c r="H105" s="1"/>
    </row>
    <row r="106">
      <c r="A106" s="1"/>
      <c r="H106" s="1"/>
    </row>
    <row r="107">
      <c r="A107" s="1"/>
      <c r="H107" s="1"/>
    </row>
    <row r="108">
      <c r="A108" s="1"/>
      <c r="H108" s="1"/>
    </row>
    <row r="109">
      <c r="A109" s="1"/>
      <c r="H109" s="1"/>
    </row>
    <row r="110">
      <c r="A110" s="1"/>
      <c r="H110" s="1"/>
    </row>
    <row r="111">
      <c r="A111" s="1"/>
      <c r="H111" s="1"/>
    </row>
    <row r="112">
      <c r="A112" s="1"/>
      <c r="H112" s="1"/>
    </row>
    <row r="113">
      <c r="A113" s="1"/>
      <c r="H113" s="1"/>
    </row>
    <row r="114">
      <c r="A114" s="1"/>
      <c r="H114" s="1"/>
    </row>
    <row r="115">
      <c r="A115" s="1"/>
      <c r="H115" s="1"/>
    </row>
    <row r="116">
      <c r="A116" s="1"/>
      <c r="H116" s="1"/>
    </row>
    <row r="117">
      <c r="A117" s="1"/>
      <c r="H117" s="1"/>
    </row>
    <row r="118">
      <c r="A118" s="1"/>
      <c r="H118" s="1"/>
    </row>
    <row r="119">
      <c r="A119" s="1"/>
      <c r="H119" s="1"/>
    </row>
    <row r="120">
      <c r="A120" s="1"/>
      <c r="H120" s="1"/>
    </row>
    <row r="121">
      <c r="A121" s="1"/>
      <c r="H121" s="1"/>
    </row>
    <row r="122">
      <c r="A122" s="1"/>
      <c r="H122" s="1"/>
    </row>
    <row r="123">
      <c r="A123" s="1"/>
      <c r="H123" s="1"/>
    </row>
    <row r="124">
      <c r="A124" s="1"/>
      <c r="H124" s="1"/>
    </row>
    <row r="125">
      <c r="A125" s="1"/>
      <c r="H125" s="1"/>
    </row>
    <row r="126">
      <c r="A126" s="1"/>
      <c r="H126" s="1"/>
    </row>
    <row r="127">
      <c r="A127" s="1"/>
      <c r="H127" s="1"/>
    </row>
    <row r="128">
      <c r="A128" s="1"/>
      <c r="H128" s="1"/>
    </row>
    <row r="129">
      <c r="A129" s="1"/>
      <c r="H129" s="1"/>
    </row>
    <row r="130">
      <c r="A130" s="1"/>
      <c r="H130" s="1"/>
    </row>
    <row r="131">
      <c r="A131" s="1"/>
      <c r="H131" s="1"/>
    </row>
    <row r="132">
      <c r="A132" s="1"/>
      <c r="H132" s="1"/>
    </row>
    <row r="133">
      <c r="A133" s="1"/>
      <c r="H133" s="1"/>
    </row>
    <row r="134">
      <c r="A134" s="1"/>
      <c r="H134" s="1"/>
    </row>
    <row r="135">
      <c r="A135" s="1"/>
      <c r="H135" s="1"/>
    </row>
    <row r="136">
      <c r="A136" s="1"/>
      <c r="H136" s="1"/>
    </row>
    <row r="137">
      <c r="A137" s="1"/>
      <c r="H137" s="1"/>
    </row>
    <row r="138">
      <c r="A138" s="1"/>
      <c r="H138" s="1"/>
    </row>
    <row r="139">
      <c r="A139" s="1"/>
      <c r="H139" s="1"/>
    </row>
    <row r="140">
      <c r="A140" s="1"/>
      <c r="H140" s="1"/>
    </row>
    <row r="141">
      <c r="A141" s="1"/>
      <c r="H141" s="1"/>
    </row>
    <row r="142">
      <c r="A142" s="1"/>
      <c r="H142" s="1"/>
    </row>
    <row r="143">
      <c r="A143" s="1"/>
      <c r="H143" s="1"/>
    </row>
    <row r="144">
      <c r="A144" s="1"/>
      <c r="H144" s="1"/>
    </row>
    <row r="145">
      <c r="A145" s="1"/>
      <c r="H145" s="1"/>
    </row>
    <row r="146">
      <c r="A146" s="1"/>
      <c r="H146" s="1"/>
    </row>
    <row r="147">
      <c r="A147" s="1"/>
      <c r="H147" s="1"/>
    </row>
    <row r="148">
      <c r="A148" s="1"/>
      <c r="H148" s="1"/>
    </row>
    <row r="149">
      <c r="A149" s="1"/>
      <c r="H149" s="1"/>
    </row>
    <row r="150">
      <c r="A150" s="1"/>
      <c r="H150" s="1"/>
    </row>
    <row r="151">
      <c r="A151" s="1"/>
      <c r="H151" s="1"/>
    </row>
    <row r="152">
      <c r="A152" s="1"/>
      <c r="H152" s="1"/>
    </row>
    <row r="153">
      <c r="A153" s="1"/>
      <c r="H153" s="1"/>
    </row>
    <row r="154">
      <c r="A154" s="1"/>
      <c r="H154" s="1"/>
    </row>
    <row r="155">
      <c r="A155" s="1"/>
      <c r="H155" s="1"/>
    </row>
    <row r="156">
      <c r="A156" s="1"/>
      <c r="H156" s="1"/>
    </row>
    <row r="157">
      <c r="A157" s="1"/>
      <c r="H157" s="1"/>
    </row>
    <row r="158">
      <c r="A158" s="1"/>
      <c r="H158" s="1"/>
    </row>
    <row r="159">
      <c r="A159" s="1"/>
      <c r="H159" s="1"/>
    </row>
    <row r="160">
      <c r="A160" s="1"/>
      <c r="H160" s="1"/>
    </row>
    <row r="161">
      <c r="A161" s="1"/>
      <c r="H161" s="1"/>
    </row>
    <row r="162">
      <c r="A162" s="1"/>
      <c r="H162" s="1"/>
    </row>
    <row r="163">
      <c r="A163" s="1"/>
      <c r="H163" s="1"/>
    </row>
    <row r="164">
      <c r="A164" s="1"/>
      <c r="H164" s="1"/>
    </row>
    <row r="165">
      <c r="A165" s="1"/>
      <c r="H165" s="1"/>
    </row>
    <row r="166">
      <c r="A166" s="1"/>
      <c r="H166" s="1"/>
    </row>
    <row r="167">
      <c r="A167" s="1"/>
      <c r="H167" s="1"/>
    </row>
    <row r="168">
      <c r="A168" s="1"/>
      <c r="H168" s="1"/>
    </row>
    <row r="169">
      <c r="A169" s="1"/>
      <c r="H169" s="1"/>
    </row>
    <row r="170">
      <c r="A170" s="1"/>
      <c r="H170" s="1"/>
    </row>
    <row r="171">
      <c r="A171" s="1"/>
      <c r="H171" s="1"/>
    </row>
    <row r="172">
      <c r="A172" s="1"/>
      <c r="H172" s="1"/>
    </row>
    <row r="173">
      <c r="A173" s="1"/>
      <c r="H173" s="1"/>
    </row>
    <row r="174">
      <c r="A174" s="1"/>
      <c r="H174" s="1"/>
    </row>
    <row r="175">
      <c r="A175" s="1"/>
      <c r="H175" s="1"/>
    </row>
    <row r="176">
      <c r="A176" s="1"/>
      <c r="H176" s="1"/>
    </row>
    <row r="177">
      <c r="A177" s="1"/>
      <c r="H177" s="1"/>
    </row>
    <row r="178">
      <c r="A178" s="1"/>
      <c r="H178" s="1"/>
    </row>
    <row r="179">
      <c r="A179" s="1"/>
      <c r="H179" s="1"/>
    </row>
    <row r="180">
      <c r="A180" s="1"/>
      <c r="H180" s="1"/>
    </row>
    <row r="181">
      <c r="A181" s="1"/>
      <c r="H181" s="1"/>
    </row>
    <row r="182">
      <c r="A182" s="1"/>
      <c r="H182" s="1"/>
    </row>
    <row r="183">
      <c r="A183" s="1"/>
      <c r="H183" s="1"/>
    </row>
    <row r="184">
      <c r="A184" s="1"/>
      <c r="H184" s="1"/>
    </row>
    <row r="185">
      <c r="A185" s="1"/>
      <c r="H185" s="1"/>
    </row>
    <row r="186">
      <c r="A186" s="1"/>
      <c r="H186" s="1"/>
    </row>
    <row r="187">
      <c r="A187" s="1"/>
      <c r="H187" s="1"/>
    </row>
    <row r="188">
      <c r="A188" s="1"/>
      <c r="H188" s="1"/>
    </row>
    <row r="189">
      <c r="A189" s="1"/>
      <c r="H189" s="1"/>
    </row>
    <row r="190">
      <c r="A190" s="1"/>
      <c r="H190" s="1"/>
    </row>
    <row r="191">
      <c r="A191" s="1"/>
      <c r="H191" s="1"/>
    </row>
    <row r="192">
      <c r="A192" s="1"/>
      <c r="H192" s="1"/>
    </row>
    <row r="193">
      <c r="A193" s="1"/>
      <c r="H193" s="1"/>
    </row>
    <row r="194">
      <c r="A194" s="1"/>
      <c r="H194" s="1"/>
    </row>
    <row r="195">
      <c r="A195" s="1"/>
      <c r="H195" s="1"/>
    </row>
    <row r="196">
      <c r="A196" s="1"/>
      <c r="H196" s="1"/>
    </row>
    <row r="197">
      <c r="A197" s="1"/>
      <c r="H197" s="1"/>
    </row>
    <row r="198">
      <c r="A198" s="1"/>
      <c r="H198" s="1"/>
    </row>
    <row r="199">
      <c r="A199" s="1"/>
      <c r="H199" s="1"/>
    </row>
    <row r="200">
      <c r="A200" s="1"/>
      <c r="H200" s="1"/>
    </row>
    <row r="201">
      <c r="A201" s="1"/>
      <c r="H201" s="1"/>
    </row>
    <row r="202">
      <c r="A202" s="1"/>
      <c r="H202" s="1"/>
    </row>
    <row r="203">
      <c r="A203" s="1"/>
      <c r="H203" s="1"/>
    </row>
    <row r="204">
      <c r="A204" s="1"/>
      <c r="H204" s="1"/>
    </row>
    <row r="205">
      <c r="A205" s="1"/>
      <c r="H205" s="1"/>
    </row>
    <row r="206">
      <c r="A206" s="1"/>
      <c r="H206" s="1"/>
    </row>
    <row r="207">
      <c r="A207" s="1"/>
      <c r="H207" s="1"/>
    </row>
    <row r="208">
      <c r="A208" s="1"/>
      <c r="H208" s="1"/>
    </row>
    <row r="209">
      <c r="A209" s="1"/>
      <c r="H209" s="1"/>
    </row>
    <row r="210">
      <c r="A210" s="1"/>
      <c r="H210" s="1"/>
    </row>
    <row r="211">
      <c r="A211" s="1"/>
      <c r="H211" s="1"/>
    </row>
    <row r="212">
      <c r="A212" s="1"/>
      <c r="H212" s="1"/>
    </row>
    <row r="213">
      <c r="A213" s="1"/>
      <c r="H213" s="1"/>
    </row>
    <row r="214">
      <c r="A214" s="1"/>
      <c r="H214" s="1"/>
    </row>
    <row r="215">
      <c r="A215" s="1"/>
      <c r="H215" s="1"/>
    </row>
    <row r="216">
      <c r="A216" s="1"/>
      <c r="H216" s="1"/>
    </row>
    <row r="217">
      <c r="A217" s="1"/>
      <c r="H217" s="1"/>
    </row>
    <row r="218">
      <c r="A218" s="1"/>
      <c r="H218" s="1"/>
    </row>
    <row r="219">
      <c r="A219" s="1"/>
      <c r="H219" s="1"/>
    </row>
    <row r="220">
      <c r="A220" s="1"/>
      <c r="H220" s="1"/>
    </row>
    <row r="221">
      <c r="A221" s="1"/>
      <c r="H221" s="1"/>
    </row>
    <row r="222">
      <c r="A222" s="1"/>
      <c r="H222" s="1"/>
    </row>
    <row r="223">
      <c r="A223" s="1"/>
      <c r="H223" s="1"/>
    </row>
    <row r="224">
      <c r="A224" s="1"/>
      <c r="H224" s="1"/>
    </row>
    <row r="225">
      <c r="A225" s="1"/>
      <c r="H225" s="1"/>
    </row>
    <row r="226">
      <c r="A226" s="1"/>
      <c r="H226" s="1"/>
    </row>
    <row r="227">
      <c r="A227" s="1"/>
      <c r="H227" s="1"/>
    </row>
    <row r="228">
      <c r="A228" s="1"/>
      <c r="H228" s="1"/>
    </row>
    <row r="229">
      <c r="A229" s="1"/>
      <c r="H229" s="1"/>
    </row>
    <row r="230">
      <c r="A230" s="1"/>
      <c r="H230" s="1"/>
    </row>
    <row r="231">
      <c r="A231" s="1"/>
      <c r="H231" s="1"/>
    </row>
    <row r="232">
      <c r="A232" s="1"/>
      <c r="H232" s="1"/>
    </row>
    <row r="233">
      <c r="A233" s="1"/>
      <c r="H233" s="1"/>
    </row>
    <row r="234">
      <c r="A234" s="1"/>
      <c r="H234" s="1"/>
    </row>
    <row r="235">
      <c r="A235" s="1"/>
      <c r="H235" s="1"/>
    </row>
    <row r="236">
      <c r="A236" s="1"/>
      <c r="H236" s="1"/>
    </row>
    <row r="237">
      <c r="A237" s="1"/>
      <c r="H237" s="1"/>
    </row>
    <row r="238">
      <c r="A238" s="1"/>
      <c r="H238" s="1"/>
    </row>
    <row r="239">
      <c r="A239" s="1"/>
      <c r="H239" s="1"/>
    </row>
    <row r="240">
      <c r="A240" s="1"/>
      <c r="H240" s="1"/>
    </row>
    <row r="241">
      <c r="A241" s="1"/>
      <c r="H241" s="1"/>
    </row>
    <row r="242">
      <c r="A242" s="1"/>
      <c r="H242" s="1"/>
    </row>
    <row r="243">
      <c r="A243" s="1"/>
      <c r="H243" s="1"/>
    </row>
    <row r="244">
      <c r="A244" s="1"/>
      <c r="H244" s="1"/>
    </row>
    <row r="245">
      <c r="A245" s="1"/>
      <c r="H245" s="1"/>
    </row>
    <row r="246">
      <c r="A246" s="1"/>
      <c r="H246" s="1"/>
    </row>
    <row r="247">
      <c r="A247" s="1"/>
      <c r="H247" s="1"/>
    </row>
    <row r="248">
      <c r="A248" s="1"/>
      <c r="H248" s="1"/>
    </row>
    <row r="249">
      <c r="A249" s="1"/>
      <c r="H249" s="1"/>
    </row>
    <row r="250">
      <c r="A250" s="1"/>
      <c r="H250" s="1"/>
    </row>
    <row r="251">
      <c r="A251" s="1"/>
      <c r="H251" s="1"/>
    </row>
    <row r="252">
      <c r="A252" s="1"/>
      <c r="H252" s="1"/>
    </row>
    <row r="253">
      <c r="A253" s="1"/>
      <c r="H253" s="1"/>
    </row>
    <row r="254">
      <c r="A254" s="1"/>
      <c r="H254" s="1"/>
    </row>
    <row r="255">
      <c r="A255" s="1"/>
      <c r="H255" s="1"/>
    </row>
    <row r="256">
      <c r="A256" s="1"/>
      <c r="H256" s="1"/>
    </row>
    <row r="257">
      <c r="A257" s="1"/>
      <c r="H257" s="1"/>
    </row>
    <row r="258">
      <c r="A258" s="1"/>
      <c r="H258" s="1"/>
    </row>
    <row r="259">
      <c r="A259" s="1"/>
      <c r="H259" s="1"/>
    </row>
    <row r="260">
      <c r="A260" s="1"/>
      <c r="H260" s="1"/>
    </row>
    <row r="261">
      <c r="A261" s="1"/>
      <c r="H261" s="1"/>
    </row>
    <row r="262">
      <c r="A262" s="1"/>
      <c r="H262" s="1"/>
    </row>
    <row r="263">
      <c r="A263" s="1"/>
      <c r="H263" s="1"/>
    </row>
    <row r="264">
      <c r="A264" s="1"/>
      <c r="H264" s="1"/>
    </row>
    <row r="265">
      <c r="A265" s="1"/>
      <c r="H265" s="1"/>
    </row>
    <row r="266">
      <c r="A266" s="1"/>
      <c r="H266" s="1"/>
    </row>
    <row r="267">
      <c r="A267" s="1"/>
      <c r="H267" s="1"/>
    </row>
    <row r="268">
      <c r="A268" s="1"/>
      <c r="H268" s="1"/>
    </row>
    <row r="269">
      <c r="A269" s="1"/>
      <c r="H269" s="1"/>
    </row>
    <row r="270">
      <c r="A270" s="1"/>
      <c r="H270" s="1"/>
    </row>
    <row r="271">
      <c r="A271" s="1"/>
      <c r="H271" s="1"/>
    </row>
    <row r="272">
      <c r="A272" s="1"/>
      <c r="H272" s="1"/>
    </row>
    <row r="273">
      <c r="A273" s="1"/>
      <c r="H273" s="1"/>
    </row>
    <row r="274">
      <c r="A274" s="1"/>
      <c r="H274" s="1"/>
    </row>
    <row r="275">
      <c r="A275" s="1"/>
      <c r="H275" s="1"/>
    </row>
    <row r="276">
      <c r="A276" s="1"/>
      <c r="H276" s="1"/>
    </row>
    <row r="277">
      <c r="A277" s="1"/>
      <c r="H277" s="1"/>
    </row>
    <row r="278">
      <c r="A278" s="1"/>
      <c r="H278" s="1"/>
    </row>
    <row r="279">
      <c r="A279" s="1"/>
      <c r="H279" s="1"/>
    </row>
    <row r="280">
      <c r="A280" s="1"/>
      <c r="H280" s="1"/>
    </row>
    <row r="281">
      <c r="A281" s="1"/>
      <c r="H281" s="1"/>
    </row>
    <row r="282">
      <c r="A282" s="1"/>
      <c r="H282" s="1"/>
    </row>
    <row r="283">
      <c r="A283" s="1"/>
      <c r="H283" s="1"/>
    </row>
    <row r="284">
      <c r="A284" s="1"/>
      <c r="H284" s="1"/>
    </row>
    <row r="285">
      <c r="A285" s="1"/>
      <c r="H285" s="1"/>
    </row>
    <row r="286">
      <c r="A286" s="1"/>
      <c r="H286" s="1"/>
    </row>
    <row r="287">
      <c r="A287" s="1"/>
      <c r="H287" s="1"/>
    </row>
    <row r="288">
      <c r="A288" s="1"/>
      <c r="H288" s="1"/>
    </row>
    <row r="289">
      <c r="A289" s="1"/>
      <c r="H289" s="1"/>
    </row>
    <row r="290">
      <c r="A290" s="1"/>
      <c r="H290" s="1"/>
    </row>
    <row r="291">
      <c r="A291" s="1"/>
      <c r="H291" s="1"/>
    </row>
    <row r="292">
      <c r="A292" s="1"/>
      <c r="H292" s="1"/>
    </row>
    <row r="293">
      <c r="A293" s="1"/>
      <c r="H293" s="1"/>
    </row>
    <row r="294">
      <c r="A294" s="1"/>
      <c r="H294" s="1"/>
    </row>
    <row r="295">
      <c r="A295" s="1"/>
      <c r="H295" s="1"/>
    </row>
    <row r="296">
      <c r="A296" s="1"/>
      <c r="H296" s="1"/>
    </row>
    <row r="297">
      <c r="A297" s="1"/>
      <c r="H297" s="1"/>
    </row>
    <row r="298">
      <c r="A298" s="1"/>
      <c r="H298" s="1"/>
    </row>
    <row r="299">
      <c r="A299" s="1"/>
      <c r="H299" s="1"/>
    </row>
    <row r="300">
      <c r="A300" s="1"/>
      <c r="H300" s="1"/>
    </row>
    <row r="301">
      <c r="A301" s="1"/>
      <c r="H301" s="1"/>
    </row>
    <row r="302">
      <c r="A302" s="1"/>
      <c r="H302" s="1"/>
    </row>
    <row r="303">
      <c r="A303" s="1"/>
      <c r="H303" s="1"/>
    </row>
    <row r="304">
      <c r="A304" s="1"/>
      <c r="H304" s="1"/>
    </row>
    <row r="305">
      <c r="A305" s="1"/>
      <c r="H305" s="1"/>
    </row>
    <row r="306">
      <c r="A306" s="1"/>
      <c r="H306" s="1"/>
    </row>
    <row r="307">
      <c r="A307" s="1"/>
      <c r="H307" s="1"/>
    </row>
    <row r="308">
      <c r="A308" s="1"/>
      <c r="H308" s="1"/>
    </row>
    <row r="309">
      <c r="A309" s="1"/>
      <c r="H309" s="1"/>
    </row>
    <row r="310">
      <c r="A310" s="1"/>
      <c r="H310" s="1"/>
    </row>
    <row r="311">
      <c r="A311" s="1"/>
      <c r="H311" s="1"/>
    </row>
    <row r="312">
      <c r="A312" s="1"/>
      <c r="H312" s="1"/>
    </row>
    <row r="313">
      <c r="A313" s="1"/>
      <c r="H313" s="1"/>
    </row>
    <row r="314">
      <c r="A314" s="1"/>
      <c r="H314" s="1"/>
    </row>
    <row r="315">
      <c r="A315" s="1"/>
      <c r="H315" s="1"/>
    </row>
    <row r="316">
      <c r="A316" s="1"/>
      <c r="H316" s="1"/>
    </row>
    <row r="317">
      <c r="A317" s="1"/>
      <c r="H317" s="1"/>
    </row>
    <row r="318">
      <c r="A318" s="1"/>
      <c r="H318" s="1"/>
    </row>
    <row r="319">
      <c r="A319" s="1"/>
      <c r="H319" s="1"/>
    </row>
    <row r="320">
      <c r="A320" s="1"/>
      <c r="H320" s="1"/>
    </row>
    <row r="321">
      <c r="A321" s="1"/>
      <c r="H321" s="1"/>
    </row>
    <row r="322">
      <c r="A322" s="1"/>
      <c r="H322" s="1"/>
    </row>
    <row r="323">
      <c r="A323" s="1"/>
      <c r="H323" s="1"/>
    </row>
    <row r="324">
      <c r="A324" s="1"/>
      <c r="H324" s="1"/>
    </row>
    <row r="325">
      <c r="A325" s="1"/>
      <c r="H325" s="1"/>
    </row>
    <row r="326">
      <c r="A326" s="1"/>
      <c r="H326" s="1"/>
    </row>
    <row r="327">
      <c r="A327" s="1"/>
      <c r="H327" s="1"/>
    </row>
    <row r="328">
      <c r="A328" s="1"/>
      <c r="H328" s="1"/>
    </row>
    <row r="329">
      <c r="A329" s="1"/>
      <c r="H329" s="1"/>
    </row>
    <row r="330">
      <c r="A330" s="1"/>
      <c r="H330" s="1"/>
    </row>
    <row r="331">
      <c r="A331" s="1"/>
      <c r="H331" s="1"/>
    </row>
    <row r="332">
      <c r="A332" s="1"/>
      <c r="H332" s="1"/>
    </row>
    <row r="333">
      <c r="A333" s="1"/>
      <c r="H333" s="1"/>
    </row>
    <row r="334">
      <c r="A334" s="1"/>
      <c r="H334" s="1"/>
    </row>
    <row r="335">
      <c r="A335" s="1"/>
      <c r="H335" s="1"/>
    </row>
    <row r="336">
      <c r="A336" s="1"/>
      <c r="H336" s="1"/>
    </row>
    <row r="337">
      <c r="A337" s="1"/>
      <c r="H337" s="1"/>
    </row>
    <row r="338">
      <c r="A338" s="1"/>
      <c r="H338" s="1"/>
    </row>
    <row r="339">
      <c r="A339" s="1"/>
      <c r="H339" s="1"/>
    </row>
    <row r="340">
      <c r="A340" s="1"/>
      <c r="H340" s="1"/>
    </row>
    <row r="341">
      <c r="A341" s="1"/>
      <c r="H341" s="1"/>
    </row>
    <row r="342">
      <c r="A342" s="1"/>
      <c r="H342" s="1"/>
    </row>
    <row r="343">
      <c r="A343" s="1"/>
      <c r="H343" s="1"/>
    </row>
    <row r="344">
      <c r="A344" s="1"/>
      <c r="H344" s="1"/>
    </row>
    <row r="345">
      <c r="A345" s="1"/>
      <c r="H345" s="1"/>
    </row>
    <row r="346">
      <c r="A346" s="1"/>
      <c r="H346" s="1"/>
    </row>
    <row r="347">
      <c r="A347" s="1"/>
      <c r="H347" s="1"/>
    </row>
    <row r="348">
      <c r="A348" s="1"/>
      <c r="H348" s="1"/>
    </row>
    <row r="349">
      <c r="A349" s="1"/>
      <c r="H349" s="1"/>
    </row>
    <row r="350">
      <c r="A350" s="1"/>
      <c r="H350" s="1"/>
    </row>
    <row r="351">
      <c r="A351" s="1"/>
      <c r="H351" s="1"/>
    </row>
    <row r="352">
      <c r="A352" s="1"/>
      <c r="H352" s="1"/>
    </row>
    <row r="353">
      <c r="A353" s="1"/>
      <c r="H353" s="1"/>
    </row>
    <row r="354">
      <c r="A354" s="1"/>
      <c r="H354" s="1"/>
    </row>
    <row r="355">
      <c r="A355" s="1"/>
      <c r="H355" s="1"/>
    </row>
    <row r="356">
      <c r="A356" s="1"/>
      <c r="H356" s="1"/>
    </row>
    <row r="357">
      <c r="A357" s="1"/>
      <c r="H357" s="1"/>
    </row>
    <row r="358">
      <c r="A358" s="1"/>
      <c r="H358" s="1"/>
    </row>
    <row r="359">
      <c r="A359" s="1"/>
      <c r="H359" s="1"/>
    </row>
    <row r="360">
      <c r="A360" s="1"/>
      <c r="H360" s="1"/>
    </row>
    <row r="361">
      <c r="A361" s="1"/>
      <c r="H361" s="1"/>
    </row>
    <row r="362">
      <c r="A362" s="1"/>
      <c r="H362" s="1"/>
    </row>
    <row r="363">
      <c r="A363" s="1"/>
      <c r="H363" s="1"/>
    </row>
    <row r="364">
      <c r="A364" s="1"/>
      <c r="H364" s="1"/>
    </row>
    <row r="365">
      <c r="A365" s="1"/>
      <c r="H365" s="1"/>
    </row>
    <row r="366">
      <c r="A366" s="1"/>
      <c r="H366" s="1"/>
    </row>
    <row r="367">
      <c r="A367" s="1"/>
      <c r="H367" s="1"/>
    </row>
    <row r="368">
      <c r="A368" s="1"/>
      <c r="H368" s="1"/>
    </row>
    <row r="369">
      <c r="A369" s="1"/>
      <c r="H369" s="1"/>
    </row>
    <row r="370">
      <c r="A370" s="1"/>
      <c r="H370" s="1"/>
    </row>
    <row r="371">
      <c r="A371" s="1"/>
      <c r="H371" s="1"/>
    </row>
    <row r="372">
      <c r="A372" s="1"/>
      <c r="H372" s="1"/>
    </row>
    <row r="373">
      <c r="A373" s="1"/>
      <c r="H373" s="1"/>
    </row>
    <row r="374">
      <c r="A374" s="1"/>
      <c r="H374" s="1"/>
    </row>
    <row r="375">
      <c r="A375" s="1"/>
      <c r="H375" s="1"/>
    </row>
    <row r="376">
      <c r="A376" s="1"/>
      <c r="H376" s="1"/>
    </row>
    <row r="377">
      <c r="A377" s="1"/>
      <c r="H377" s="1"/>
    </row>
    <row r="378">
      <c r="A378" s="1"/>
      <c r="H378" s="1"/>
    </row>
    <row r="379">
      <c r="A379" s="1"/>
      <c r="H379" s="1"/>
    </row>
    <row r="380">
      <c r="A380" s="1"/>
      <c r="H380" s="1"/>
    </row>
    <row r="381">
      <c r="A381" s="1"/>
      <c r="H381" s="1"/>
    </row>
    <row r="382">
      <c r="A382" s="1"/>
      <c r="H382" s="1"/>
    </row>
    <row r="383">
      <c r="A383" s="1"/>
      <c r="H383" s="1"/>
    </row>
    <row r="384">
      <c r="A384" s="1"/>
      <c r="H384" s="1"/>
    </row>
    <row r="385">
      <c r="A385" s="1"/>
      <c r="H385" s="1"/>
    </row>
    <row r="386">
      <c r="A386" s="1"/>
      <c r="H386" s="1"/>
    </row>
    <row r="387">
      <c r="A387" s="1"/>
      <c r="H387" s="1"/>
    </row>
    <row r="388">
      <c r="A388" s="1"/>
      <c r="H388" s="1"/>
    </row>
    <row r="389">
      <c r="A389" s="1"/>
      <c r="H389" s="1"/>
    </row>
    <row r="390">
      <c r="A390" s="1"/>
      <c r="H390" s="1"/>
    </row>
    <row r="391">
      <c r="A391" s="1"/>
      <c r="H391" s="1"/>
    </row>
    <row r="392">
      <c r="A392" s="1"/>
      <c r="H392" s="1"/>
    </row>
    <row r="393">
      <c r="A393" s="1"/>
      <c r="H393" s="1"/>
    </row>
    <row r="394">
      <c r="A394" s="1"/>
      <c r="H394" s="1"/>
    </row>
    <row r="395">
      <c r="A395" s="1"/>
      <c r="H395" s="1"/>
    </row>
    <row r="396">
      <c r="A396" s="1"/>
      <c r="H396" s="1"/>
    </row>
    <row r="397">
      <c r="A397" s="1"/>
      <c r="H397" s="1"/>
    </row>
    <row r="398">
      <c r="A398" s="1"/>
      <c r="H398" s="1"/>
    </row>
    <row r="399">
      <c r="A399" s="1"/>
      <c r="H399" s="1"/>
    </row>
    <row r="400">
      <c r="A400" s="1"/>
      <c r="H400" s="1"/>
    </row>
    <row r="401">
      <c r="A401" s="1"/>
      <c r="H401" s="1"/>
    </row>
    <row r="402">
      <c r="A402" s="1"/>
      <c r="H402" s="1"/>
    </row>
    <row r="403">
      <c r="A403" s="1"/>
      <c r="H403" s="1"/>
    </row>
    <row r="404">
      <c r="A404" s="1"/>
      <c r="H404" s="1"/>
    </row>
    <row r="405">
      <c r="A405" s="1"/>
      <c r="H405" s="1"/>
    </row>
    <row r="406">
      <c r="A406" s="1"/>
      <c r="H406" s="1"/>
    </row>
    <row r="407">
      <c r="A407" s="1"/>
      <c r="H407" s="1"/>
    </row>
    <row r="408">
      <c r="A408" s="1"/>
      <c r="H408" s="1"/>
    </row>
    <row r="409">
      <c r="A409" s="1"/>
      <c r="H409" s="1"/>
    </row>
    <row r="410">
      <c r="A410" s="1"/>
      <c r="H410" s="1"/>
    </row>
    <row r="411">
      <c r="A411" s="1"/>
      <c r="H411" s="1"/>
    </row>
    <row r="412">
      <c r="A412" s="1"/>
      <c r="H412" s="1"/>
    </row>
    <row r="413">
      <c r="A413" s="1"/>
      <c r="H413" s="1"/>
    </row>
    <row r="414">
      <c r="A414" s="1"/>
      <c r="H414" s="1"/>
    </row>
    <row r="415">
      <c r="A415" s="1"/>
      <c r="H415" s="1"/>
    </row>
    <row r="416">
      <c r="A416" s="1"/>
      <c r="H416" s="1"/>
    </row>
    <row r="417">
      <c r="A417" s="1"/>
      <c r="H417" s="1"/>
    </row>
    <row r="418">
      <c r="A418" s="1"/>
      <c r="H418" s="1"/>
    </row>
    <row r="419">
      <c r="A419" s="1"/>
      <c r="H419" s="1"/>
    </row>
    <row r="420">
      <c r="A420" s="1"/>
      <c r="H420" s="1"/>
    </row>
    <row r="421">
      <c r="A421" s="1"/>
      <c r="H421" s="1"/>
    </row>
    <row r="422">
      <c r="A422" s="1"/>
      <c r="H422" s="1"/>
    </row>
    <row r="423">
      <c r="A423" s="1"/>
      <c r="H423" s="1"/>
    </row>
    <row r="424">
      <c r="A424" s="1"/>
      <c r="H424" s="1"/>
    </row>
    <row r="425">
      <c r="A425" s="1"/>
      <c r="H425" s="1"/>
    </row>
    <row r="426">
      <c r="A426" s="1"/>
      <c r="H426" s="1"/>
    </row>
    <row r="427">
      <c r="A427" s="1"/>
      <c r="H427" s="1"/>
    </row>
    <row r="428">
      <c r="A428" s="1"/>
      <c r="H428" s="1"/>
    </row>
    <row r="429">
      <c r="A429" s="1"/>
      <c r="H429" s="1"/>
    </row>
    <row r="430">
      <c r="A430" s="1"/>
      <c r="H430" s="1"/>
    </row>
    <row r="431">
      <c r="A431" s="1"/>
      <c r="H431" s="1"/>
    </row>
    <row r="432">
      <c r="A432" s="1"/>
      <c r="H432" s="1"/>
    </row>
    <row r="433">
      <c r="A433" s="1"/>
      <c r="H433" s="1"/>
    </row>
    <row r="434">
      <c r="A434" s="1"/>
      <c r="H434" s="1"/>
    </row>
    <row r="435">
      <c r="A435" s="1"/>
      <c r="H435" s="1"/>
    </row>
    <row r="436">
      <c r="A436" s="1"/>
      <c r="H436" s="1"/>
    </row>
    <row r="437">
      <c r="A437" s="1"/>
      <c r="H437" s="1"/>
    </row>
    <row r="438">
      <c r="A438" s="1"/>
      <c r="H438" s="1"/>
    </row>
    <row r="439">
      <c r="A439" s="1"/>
      <c r="H439" s="1"/>
    </row>
    <row r="440">
      <c r="A440" s="1"/>
      <c r="H440" s="1"/>
    </row>
    <row r="441">
      <c r="A441" s="1"/>
      <c r="H441" s="1"/>
    </row>
    <row r="442">
      <c r="A442" s="1"/>
      <c r="H442" s="1"/>
    </row>
    <row r="443">
      <c r="A443" s="1"/>
      <c r="H443" s="1"/>
    </row>
    <row r="444">
      <c r="A444" s="1"/>
      <c r="H444" s="1"/>
    </row>
    <row r="445">
      <c r="A445" s="1"/>
      <c r="H445" s="1"/>
    </row>
    <row r="446">
      <c r="A446" s="1"/>
      <c r="H446" s="1"/>
    </row>
    <row r="447">
      <c r="A447" s="1"/>
      <c r="H447" s="1"/>
    </row>
    <row r="448">
      <c r="A448" s="1"/>
      <c r="H448" s="1"/>
    </row>
    <row r="449">
      <c r="A449" s="1"/>
      <c r="H449" s="1"/>
    </row>
    <row r="450">
      <c r="A450" s="1"/>
      <c r="H450" s="1"/>
    </row>
    <row r="451">
      <c r="A451" s="1"/>
      <c r="H451" s="1"/>
    </row>
    <row r="452">
      <c r="A452" s="1"/>
      <c r="H452" s="1"/>
    </row>
    <row r="453">
      <c r="A453" s="1"/>
      <c r="H453" s="1"/>
    </row>
    <row r="454">
      <c r="A454" s="1"/>
      <c r="H454" s="1"/>
    </row>
    <row r="455">
      <c r="A455" s="1"/>
      <c r="H455" s="1"/>
    </row>
    <row r="456">
      <c r="A456" s="1"/>
      <c r="H456" s="1"/>
    </row>
    <row r="457">
      <c r="A457" s="1"/>
      <c r="H457" s="1"/>
    </row>
    <row r="458">
      <c r="A458" s="1"/>
      <c r="H458" s="1"/>
    </row>
    <row r="459">
      <c r="A459" s="1"/>
      <c r="H459" s="1"/>
    </row>
    <row r="460">
      <c r="A460" s="1"/>
      <c r="H460" s="1"/>
    </row>
    <row r="461">
      <c r="A461" s="1"/>
      <c r="H461" s="1"/>
    </row>
    <row r="462">
      <c r="A462" s="1"/>
      <c r="H462" s="1"/>
    </row>
    <row r="463">
      <c r="A463" s="1"/>
      <c r="H463" s="1"/>
    </row>
    <row r="464">
      <c r="A464" s="1"/>
      <c r="H464" s="1"/>
    </row>
    <row r="465">
      <c r="A465" s="1"/>
      <c r="H465" s="1"/>
    </row>
    <row r="466">
      <c r="A466" s="1"/>
      <c r="H466" s="1"/>
    </row>
    <row r="467">
      <c r="A467" s="1"/>
      <c r="H467" s="1"/>
    </row>
    <row r="468">
      <c r="A468" s="1"/>
      <c r="H468" s="1"/>
    </row>
    <row r="469">
      <c r="A469" s="1"/>
      <c r="H469" s="1"/>
    </row>
    <row r="470">
      <c r="A470" s="1"/>
      <c r="H470" s="1"/>
    </row>
    <row r="471">
      <c r="A471" s="1"/>
      <c r="H471" s="1"/>
    </row>
    <row r="472">
      <c r="A472" s="1"/>
      <c r="H472" s="1"/>
    </row>
    <row r="473">
      <c r="A473" s="1"/>
      <c r="H473" s="1"/>
    </row>
    <row r="474">
      <c r="A474" s="1"/>
      <c r="H474" s="1"/>
    </row>
    <row r="475">
      <c r="A475" s="1"/>
      <c r="H475" s="1"/>
    </row>
    <row r="476">
      <c r="A476" s="1"/>
      <c r="H476" s="1"/>
    </row>
    <row r="477">
      <c r="A477" s="1"/>
      <c r="H477" s="1"/>
    </row>
    <row r="478">
      <c r="A478" s="1"/>
      <c r="H478" s="1"/>
    </row>
    <row r="479">
      <c r="A479" s="1"/>
      <c r="H479" s="1"/>
    </row>
    <row r="480">
      <c r="A480" s="1"/>
      <c r="H480" s="1"/>
    </row>
    <row r="481">
      <c r="A481" s="1"/>
      <c r="H481" s="1"/>
    </row>
    <row r="482">
      <c r="A482" s="1"/>
      <c r="H482" s="1"/>
    </row>
    <row r="483">
      <c r="A483" s="1"/>
      <c r="H483" s="1"/>
    </row>
    <row r="484">
      <c r="A484" s="1"/>
      <c r="H484" s="1"/>
    </row>
    <row r="485">
      <c r="A485" s="1"/>
      <c r="H485" s="1"/>
    </row>
    <row r="486">
      <c r="A486" s="1"/>
      <c r="H486" s="1"/>
    </row>
    <row r="487">
      <c r="A487" s="1"/>
      <c r="H487" s="1"/>
    </row>
    <row r="488">
      <c r="A488" s="1"/>
      <c r="H488" s="1"/>
    </row>
    <row r="489">
      <c r="A489" s="1"/>
      <c r="H489" s="1"/>
    </row>
    <row r="490">
      <c r="A490" s="1"/>
      <c r="H490" s="1"/>
    </row>
    <row r="491">
      <c r="A491" s="1"/>
      <c r="H491" s="1"/>
    </row>
    <row r="492">
      <c r="A492" s="1"/>
      <c r="H492" s="1"/>
    </row>
    <row r="493">
      <c r="A493" s="1"/>
      <c r="H493" s="1"/>
    </row>
    <row r="494">
      <c r="A494" s="1"/>
      <c r="H494" s="1"/>
    </row>
    <row r="495">
      <c r="A495" s="1"/>
      <c r="H495" s="1"/>
    </row>
    <row r="496">
      <c r="A496" s="1"/>
      <c r="H496" s="1"/>
    </row>
    <row r="497">
      <c r="A497" s="1"/>
      <c r="H497" s="1"/>
    </row>
    <row r="498">
      <c r="A498" s="1"/>
      <c r="H498" s="1"/>
    </row>
    <row r="499">
      <c r="A499" s="1"/>
      <c r="H499" s="1"/>
    </row>
    <row r="500">
      <c r="A500" s="1"/>
      <c r="H500" s="1"/>
    </row>
    <row r="501">
      <c r="A501" s="1"/>
      <c r="H501" s="1"/>
    </row>
    <row r="502">
      <c r="A502" s="1"/>
      <c r="H502" s="1"/>
    </row>
    <row r="503">
      <c r="A503" s="1"/>
      <c r="H503" s="1"/>
    </row>
    <row r="504">
      <c r="A504" s="1"/>
      <c r="H504" s="1"/>
    </row>
    <row r="505">
      <c r="A505" s="1"/>
      <c r="H505" s="1"/>
    </row>
    <row r="506">
      <c r="A506" s="1"/>
      <c r="H506" s="1"/>
    </row>
    <row r="507">
      <c r="A507" s="1"/>
      <c r="H507" s="1"/>
    </row>
    <row r="508">
      <c r="A508" s="1"/>
      <c r="H508" s="1"/>
    </row>
    <row r="509">
      <c r="A509" s="1"/>
      <c r="H509" s="1"/>
    </row>
    <row r="510">
      <c r="A510" s="1"/>
      <c r="H510" s="1"/>
    </row>
    <row r="511">
      <c r="A511" s="1"/>
      <c r="H511" s="1"/>
    </row>
    <row r="512">
      <c r="A512" s="1"/>
      <c r="H512" s="1"/>
    </row>
    <row r="513">
      <c r="A513" s="1"/>
      <c r="H513" s="1"/>
    </row>
    <row r="514">
      <c r="A514" s="1"/>
      <c r="H514" s="1"/>
    </row>
    <row r="515">
      <c r="A515" s="1"/>
      <c r="H515" s="1"/>
    </row>
    <row r="516">
      <c r="A516" s="1"/>
      <c r="H516" s="1"/>
    </row>
    <row r="517">
      <c r="A517" s="1"/>
      <c r="H517" s="1"/>
    </row>
    <row r="518">
      <c r="A518" s="1"/>
      <c r="H518" s="1"/>
    </row>
    <row r="519">
      <c r="A519" s="1"/>
      <c r="H519" s="1"/>
    </row>
    <row r="520">
      <c r="A520" s="1"/>
      <c r="H520" s="1"/>
    </row>
    <row r="521">
      <c r="A521" s="1"/>
      <c r="H521" s="1"/>
    </row>
    <row r="522">
      <c r="A522" s="1"/>
      <c r="H522" s="1"/>
    </row>
    <row r="523">
      <c r="A523" s="1"/>
      <c r="H523" s="1"/>
    </row>
    <row r="524">
      <c r="A524" s="1"/>
      <c r="H524" s="1"/>
    </row>
    <row r="525">
      <c r="A525" s="1"/>
      <c r="H525" s="1"/>
    </row>
    <row r="526">
      <c r="A526" s="1"/>
      <c r="H526" s="1"/>
    </row>
    <row r="527">
      <c r="A527" s="1"/>
      <c r="H527" s="1"/>
    </row>
    <row r="528">
      <c r="A528" s="1"/>
      <c r="H528" s="1"/>
    </row>
    <row r="529">
      <c r="A529" s="1"/>
      <c r="H529" s="1"/>
    </row>
    <row r="530">
      <c r="A530" s="1"/>
      <c r="H530" s="1"/>
    </row>
    <row r="531">
      <c r="A531" s="1"/>
      <c r="H531" s="1"/>
    </row>
    <row r="532">
      <c r="A532" s="1"/>
      <c r="H532" s="1"/>
    </row>
    <row r="533">
      <c r="A533" s="1"/>
      <c r="H533" s="1"/>
    </row>
    <row r="534">
      <c r="A534" s="1"/>
      <c r="H534" s="1"/>
    </row>
    <row r="535">
      <c r="A535" s="1"/>
      <c r="H535" s="1"/>
    </row>
    <row r="536">
      <c r="A536" s="1"/>
      <c r="H536" s="1"/>
    </row>
    <row r="537">
      <c r="A537" s="1"/>
      <c r="H537" s="1"/>
    </row>
    <row r="538">
      <c r="A538" s="1"/>
      <c r="H538" s="1"/>
    </row>
    <row r="539">
      <c r="A539" s="1"/>
      <c r="H539" s="1"/>
    </row>
    <row r="540">
      <c r="A540" s="1"/>
      <c r="H540" s="1"/>
    </row>
    <row r="541">
      <c r="A541" s="1"/>
      <c r="H541" s="1"/>
    </row>
    <row r="542">
      <c r="A542" s="1"/>
      <c r="H542" s="1"/>
    </row>
    <row r="543">
      <c r="A543" s="1"/>
      <c r="H543" s="1"/>
    </row>
    <row r="544">
      <c r="A544" s="1"/>
      <c r="H544" s="1"/>
    </row>
    <row r="545">
      <c r="A545" s="1"/>
      <c r="H545" s="1"/>
    </row>
    <row r="546">
      <c r="A546" s="1"/>
      <c r="H546" s="1"/>
    </row>
    <row r="547">
      <c r="A547" s="1"/>
      <c r="H547" s="1"/>
    </row>
    <row r="548">
      <c r="A548" s="1"/>
      <c r="H548" s="1"/>
    </row>
    <row r="549">
      <c r="A549" s="1"/>
      <c r="H549" s="1"/>
    </row>
    <row r="550">
      <c r="A550" s="1"/>
      <c r="H550" s="1"/>
    </row>
    <row r="551">
      <c r="A551" s="1"/>
      <c r="H551" s="1"/>
    </row>
    <row r="552">
      <c r="A552" s="1"/>
      <c r="H552" s="1"/>
    </row>
    <row r="553">
      <c r="A553" s="1"/>
      <c r="H553" s="1"/>
    </row>
    <row r="554">
      <c r="A554" s="1"/>
      <c r="H554" s="1"/>
    </row>
    <row r="555">
      <c r="A555" s="1"/>
      <c r="H555" s="1"/>
    </row>
    <row r="556">
      <c r="A556" s="1"/>
      <c r="H556" s="1"/>
    </row>
    <row r="557">
      <c r="A557" s="1"/>
      <c r="H557" s="1"/>
    </row>
    <row r="558">
      <c r="A558" s="1"/>
      <c r="H558" s="1"/>
    </row>
    <row r="559">
      <c r="A559" s="1"/>
      <c r="H559" s="1"/>
    </row>
    <row r="560">
      <c r="A560" s="1"/>
      <c r="H560" s="1"/>
    </row>
    <row r="561">
      <c r="A561" s="1"/>
      <c r="H561" s="1"/>
    </row>
    <row r="562">
      <c r="A562" s="1"/>
      <c r="H562" s="1"/>
    </row>
    <row r="563">
      <c r="A563" s="1"/>
      <c r="H563" s="1"/>
    </row>
    <row r="564">
      <c r="A564" s="1"/>
      <c r="H564" s="1"/>
    </row>
    <row r="565">
      <c r="A565" s="1"/>
      <c r="H565" s="1"/>
    </row>
    <row r="566">
      <c r="A566" s="1"/>
      <c r="H566" s="1"/>
    </row>
    <row r="567">
      <c r="A567" s="1"/>
      <c r="H567" s="1"/>
    </row>
    <row r="568">
      <c r="A568" s="1"/>
      <c r="H568" s="1"/>
    </row>
    <row r="569">
      <c r="A569" s="1"/>
      <c r="H569" s="1"/>
    </row>
    <row r="570">
      <c r="A570" s="1"/>
      <c r="H570" s="1"/>
    </row>
    <row r="571">
      <c r="A571" s="1"/>
      <c r="H571" s="1"/>
    </row>
    <row r="572">
      <c r="A572" s="1"/>
      <c r="H572" s="1"/>
    </row>
    <row r="573">
      <c r="A573" s="1"/>
      <c r="H573" s="1"/>
    </row>
    <row r="574">
      <c r="A574" s="1"/>
      <c r="H574" s="1"/>
    </row>
    <row r="575">
      <c r="A575" s="1"/>
      <c r="H575" s="1"/>
    </row>
    <row r="576">
      <c r="A576" s="1"/>
      <c r="H576" s="1"/>
    </row>
    <row r="577">
      <c r="A577" s="1"/>
      <c r="H577" s="1"/>
    </row>
    <row r="578">
      <c r="A578" s="1"/>
      <c r="H578" s="1"/>
    </row>
    <row r="579">
      <c r="A579" s="1"/>
      <c r="H579" s="1"/>
    </row>
    <row r="580">
      <c r="A580" s="1"/>
      <c r="H580" s="1"/>
    </row>
    <row r="581">
      <c r="A581" s="1"/>
      <c r="H581" s="1"/>
    </row>
    <row r="582">
      <c r="A582" s="1"/>
      <c r="H582" s="1"/>
    </row>
    <row r="583">
      <c r="A583" s="1"/>
      <c r="H583" s="1"/>
    </row>
    <row r="584">
      <c r="A584" s="1"/>
      <c r="H584" s="1"/>
    </row>
    <row r="585">
      <c r="A585" s="1"/>
      <c r="H585" s="1"/>
    </row>
    <row r="586">
      <c r="A586" s="1"/>
      <c r="H586" s="1"/>
    </row>
    <row r="587">
      <c r="A587" s="1"/>
      <c r="H587" s="1"/>
    </row>
    <row r="588">
      <c r="A588" s="1"/>
      <c r="H588" s="1"/>
    </row>
    <row r="589">
      <c r="A589" s="1"/>
      <c r="H589" s="1"/>
    </row>
    <row r="590">
      <c r="A590" s="1"/>
      <c r="H590" s="1"/>
    </row>
    <row r="591">
      <c r="A591" s="1"/>
      <c r="H591" s="1"/>
    </row>
    <row r="592">
      <c r="A592" s="1"/>
      <c r="H592" s="1"/>
    </row>
    <row r="593">
      <c r="A593" s="1"/>
      <c r="H593" s="1"/>
    </row>
    <row r="594">
      <c r="A594" s="1"/>
      <c r="H594" s="1"/>
    </row>
    <row r="595">
      <c r="A595" s="1"/>
      <c r="H595" s="1"/>
    </row>
    <row r="596">
      <c r="A596" s="1"/>
      <c r="H596" s="1"/>
    </row>
    <row r="597">
      <c r="A597" s="1"/>
      <c r="H597" s="1"/>
    </row>
    <row r="598">
      <c r="A598" s="1"/>
      <c r="H598" s="1"/>
    </row>
    <row r="599">
      <c r="A599" s="1"/>
      <c r="H599" s="1"/>
    </row>
    <row r="600">
      <c r="A600" s="1"/>
      <c r="H600" s="1"/>
    </row>
    <row r="601">
      <c r="A601" s="1"/>
      <c r="H601" s="1"/>
    </row>
    <row r="602">
      <c r="A602" s="1"/>
      <c r="H602" s="1"/>
    </row>
    <row r="603">
      <c r="A603" s="1"/>
      <c r="H603" s="1"/>
    </row>
    <row r="604">
      <c r="A604" s="1"/>
      <c r="H604" s="1"/>
    </row>
    <row r="605">
      <c r="A605" s="1"/>
      <c r="H605" s="1"/>
    </row>
    <row r="606">
      <c r="A606" s="1"/>
      <c r="H606" s="1"/>
    </row>
    <row r="607">
      <c r="A607" s="1"/>
      <c r="H607" s="1"/>
    </row>
    <row r="608">
      <c r="A608" s="1"/>
      <c r="H608" s="1"/>
    </row>
    <row r="609">
      <c r="A609" s="1"/>
      <c r="H609" s="1"/>
    </row>
    <row r="610">
      <c r="A610" s="1"/>
      <c r="H610" s="1"/>
    </row>
    <row r="611">
      <c r="A611" s="1"/>
      <c r="H611" s="1"/>
    </row>
    <row r="612">
      <c r="A612" s="1"/>
      <c r="H612" s="1"/>
    </row>
    <row r="613">
      <c r="A613" s="1"/>
      <c r="H613" s="1"/>
    </row>
    <row r="614">
      <c r="A614" s="1"/>
      <c r="H614" s="1"/>
    </row>
    <row r="615">
      <c r="A615" s="1"/>
      <c r="H615" s="1"/>
    </row>
    <row r="616">
      <c r="A616" s="1"/>
      <c r="H616" s="1"/>
    </row>
    <row r="617">
      <c r="A617" s="1"/>
      <c r="H617" s="1"/>
    </row>
    <row r="618">
      <c r="A618" s="1"/>
      <c r="H618" s="1"/>
    </row>
    <row r="619">
      <c r="A619" s="1"/>
      <c r="H619" s="1"/>
    </row>
    <row r="620">
      <c r="A620" s="1"/>
      <c r="H620" s="1"/>
    </row>
    <row r="621">
      <c r="A621" s="1"/>
      <c r="H621" s="1"/>
    </row>
    <row r="622">
      <c r="A622" s="1"/>
      <c r="H622" s="1"/>
    </row>
    <row r="623">
      <c r="A623" s="1"/>
      <c r="H623" s="1"/>
    </row>
    <row r="624">
      <c r="A624" s="1"/>
      <c r="H624" s="1"/>
    </row>
    <row r="625">
      <c r="A625" s="1"/>
      <c r="H625" s="1"/>
    </row>
    <row r="626">
      <c r="A626" s="1"/>
      <c r="H626" s="1"/>
    </row>
    <row r="627">
      <c r="A627" s="1"/>
      <c r="H627" s="1"/>
    </row>
    <row r="628">
      <c r="A628" s="1"/>
      <c r="H628" s="1"/>
    </row>
    <row r="629">
      <c r="A629" s="1"/>
      <c r="H629" s="1"/>
    </row>
    <row r="630">
      <c r="A630" s="1"/>
      <c r="H630" s="1"/>
    </row>
    <row r="631">
      <c r="A631" s="1"/>
      <c r="H631" s="1"/>
    </row>
    <row r="632">
      <c r="A632" s="1"/>
      <c r="H632" s="1"/>
    </row>
    <row r="633">
      <c r="A633" s="1"/>
      <c r="H633" s="1"/>
    </row>
    <row r="634">
      <c r="A634" s="1"/>
      <c r="H634" s="1"/>
    </row>
    <row r="635">
      <c r="A635" s="1"/>
      <c r="H635" s="1"/>
    </row>
    <row r="636">
      <c r="A636" s="1"/>
      <c r="H636" s="1"/>
    </row>
    <row r="637">
      <c r="A637" s="1"/>
      <c r="H637" s="1"/>
    </row>
    <row r="638">
      <c r="A638" s="1"/>
      <c r="H638" s="1"/>
    </row>
    <row r="639">
      <c r="A639" s="1"/>
      <c r="H639" s="1"/>
    </row>
    <row r="640">
      <c r="A640" s="1"/>
      <c r="H640" s="1"/>
    </row>
    <row r="641">
      <c r="A641" s="1"/>
      <c r="H641" s="1"/>
    </row>
    <row r="642">
      <c r="A642" s="1"/>
      <c r="H642" s="1"/>
    </row>
    <row r="643">
      <c r="A643" s="1"/>
      <c r="H643" s="1"/>
    </row>
    <row r="644">
      <c r="A644" s="1"/>
      <c r="H644" s="1"/>
    </row>
    <row r="645">
      <c r="A645" s="1"/>
      <c r="H645" s="1"/>
    </row>
    <row r="646">
      <c r="A646" s="1"/>
      <c r="H646" s="1"/>
    </row>
    <row r="647">
      <c r="A647" s="1"/>
      <c r="H647" s="1"/>
    </row>
    <row r="648">
      <c r="A648" s="1"/>
      <c r="H648" s="1"/>
    </row>
    <row r="649">
      <c r="A649" s="1"/>
      <c r="H649" s="1"/>
    </row>
    <row r="650">
      <c r="A650" s="1"/>
      <c r="H650" s="1"/>
    </row>
    <row r="651">
      <c r="A651" s="1"/>
      <c r="H651" s="1"/>
    </row>
    <row r="652">
      <c r="A652" s="1"/>
      <c r="H652" s="1"/>
    </row>
    <row r="653">
      <c r="A653" s="1"/>
      <c r="H653" s="1"/>
    </row>
    <row r="654">
      <c r="A654" s="1"/>
      <c r="H654" s="1"/>
    </row>
    <row r="655">
      <c r="A655" s="1"/>
      <c r="H655" s="1"/>
    </row>
    <row r="656">
      <c r="A656" s="1"/>
      <c r="H656" s="1"/>
    </row>
    <row r="657">
      <c r="A657" s="1"/>
      <c r="H657" s="1"/>
    </row>
    <row r="658">
      <c r="A658" s="1"/>
      <c r="H658" s="1"/>
    </row>
    <row r="659">
      <c r="A659" s="1"/>
      <c r="H659" s="1"/>
    </row>
    <row r="660">
      <c r="A660" s="1"/>
      <c r="H660" s="1"/>
    </row>
    <row r="661">
      <c r="A661" s="1"/>
      <c r="H661" s="1"/>
    </row>
    <row r="662">
      <c r="A662" s="1"/>
      <c r="H662" s="1"/>
    </row>
    <row r="663">
      <c r="A663" s="1"/>
      <c r="H663" s="1"/>
    </row>
    <row r="664">
      <c r="A664" s="1"/>
      <c r="H664" s="1"/>
    </row>
    <row r="665">
      <c r="A665" s="1"/>
      <c r="H665" s="1"/>
    </row>
    <row r="666">
      <c r="A666" s="1"/>
      <c r="H666" s="1"/>
    </row>
    <row r="667">
      <c r="A667" s="1"/>
      <c r="H667" s="1"/>
    </row>
    <row r="668">
      <c r="A668" s="1"/>
      <c r="H668" s="1"/>
    </row>
    <row r="669">
      <c r="A669" s="1"/>
      <c r="H669" s="1"/>
    </row>
    <row r="670">
      <c r="A670" s="1"/>
      <c r="H670" s="1"/>
    </row>
    <row r="671">
      <c r="A671" s="1"/>
      <c r="H671" s="1"/>
    </row>
    <row r="672">
      <c r="A672" s="1"/>
      <c r="H672" s="1"/>
    </row>
    <row r="673">
      <c r="A673" s="1"/>
      <c r="H673" s="1"/>
    </row>
    <row r="674">
      <c r="A674" s="1"/>
      <c r="H674" s="1"/>
    </row>
    <row r="675">
      <c r="A675" s="1"/>
      <c r="H675" s="1"/>
    </row>
    <row r="676">
      <c r="A676" s="1"/>
      <c r="H676" s="1"/>
    </row>
    <row r="677">
      <c r="A677" s="1"/>
      <c r="H677" s="1"/>
    </row>
    <row r="678">
      <c r="A678" s="1"/>
      <c r="H678" s="1"/>
    </row>
    <row r="679">
      <c r="A679" s="1"/>
      <c r="H679" s="1"/>
    </row>
    <row r="680">
      <c r="A680" s="1"/>
      <c r="H680" s="1"/>
    </row>
    <row r="681">
      <c r="A681" s="1"/>
      <c r="H681" s="1"/>
    </row>
    <row r="682">
      <c r="A682" s="1"/>
      <c r="H682" s="1"/>
    </row>
    <row r="683">
      <c r="A683" s="1"/>
      <c r="H683" s="1"/>
    </row>
    <row r="684">
      <c r="A684" s="1"/>
      <c r="H684" s="1"/>
    </row>
    <row r="685">
      <c r="A685" s="1"/>
      <c r="H685" s="1"/>
    </row>
    <row r="686">
      <c r="A686" s="1"/>
      <c r="H686" s="1"/>
    </row>
    <row r="687">
      <c r="A687" s="1"/>
      <c r="H687" s="1"/>
    </row>
    <row r="688">
      <c r="A688" s="1"/>
      <c r="H688" s="1"/>
    </row>
    <row r="689">
      <c r="A689" s="1"/>
      <c r="H689" s="1"/>
    </row>
    <row r="690">
      <c r="A690" s="1"/>
      <c r="H690" s="1"/>
    </row>
    <row r="691">
      <c r="A691" s="1"/>
      <c r="H691" s="1"/>
    </row>
    <row r="692">
      <c r="A692" s="1"/>
      <c r="H692" s="1"/>
    </row>
    <row r="693">
      <c r="A693" s="1"/>
      <c r="H693" s="1"/>
    </row>
    <row r="694">
      <c r="A694" s="1"/>
      <c r="H694" s="1"/>
    </row>
    <row r="695">
      <c r="A695" s="1"/>
      <c r="H695" s="1"/>
    </row>
    <row r="696">
      <c r="A696" s="1"/>
      <c r="H696" s="1"/>
    </row>
    <row r="697">
      <c r="A697" s="1"/>
      <c r="H697" s="1"/>
    </row>
    <row r="698">
      <c r="A698" s="1"/>
      <c r="H698" s="1"/>
    </row>
    <row r="699">
      <c r="A699" s="1"/>
      <c r="H699" s="1"/>
    </row>
    <row r="700">
      <c r="A700" s="1"/>
      <c r="H700" s="1"/>
    </row>
    <row r="701">
      <c r="A701" s="1"/>
      <c r="H701" s="1"/>
    </row>
    <row r="702">
      <c r="A702" s="1"/>
      <c r="H702" s="1"/>
    </row>
    <row r="703">
      <c r="A703" s="1"/>
      <c r="H703" s="1"/>
    </row>
    <row r="704">
      <c r="A704" s="1"/>
      <c r="H704" s="1"/>
    </row>
    <row r="705">
      <c r="A705" s="1"/>
      <c r="H705" s="1"/>
    </row>
    <row r="706">
      <c r="A706" s="1"/>
      <c r="H706" s="1"/>
    </row>
    <row r="707">
      <c r="A707" s="1"/>
      <c r="H707" s="1"/>
    </row>
    <row r="708">
      <c r="A708" s="1"/>
      <c r="H708" s="1"/>
    </row>
    <row r="709">
      <c r="A709" s="1"/>
      <c r="H709" s="1"/>
    </row>
    <row r="710">
      <c r="A710" s="1"/>
      <c r="H710" s="1"/>
    </row>
    <row r="711">
      <c r="A711" s="1"/>
      <c r="H711" s="1"/>
    </row>
    <row r="712">
      <c r="A712" s="1"/>
      <c r="H712" s="1"/>
    </row>
    <row r="713">
      <c r="A713" s="1"/>
      <c r="H713" s="1"/>
    </row>
    <row r="714">
      <c r="A714" s="1"/>
      <c r="H714" s="1"/>
    </row>
    <row r="715">
      <c r="A715" s="1"/>
      <c r="H715" s="1"/>
    </row>
    <row r="716">
      <c r="A716" s="1"/>
      <c r="H716" s="1"/>
    </row>
    <row r="717">
      <c r="A717" s="1"/>
      <c r="H717" s="1"/>
    </row>
    <row r="718">
      <c r="A718" s="1"/>
      <c r="H718" s="1"/>
    </row>
    <row r="719">
      <c r="A719" s="1"/>
      <c r="H719" s="1"/>
    </row>
    <row r="720">
      <c r="A720" s="1"/>
      <c r="H720" s="1"/>
    </row>
    <row r="721">
      <c r="A721" s="1"/>
      <c r="H721" s="1"/>
    </row>
    <row r="722">
      <c r="A722" s="1"/>
      <c r="H722" s="1"/>
    </row>
    <row r="723">
      <c r="A723" s="1"/>
      <c r="H723" s="1"/>
    </row>
    <row r="724">
      <c r="A724" s="1"/>
      <c r="H724" s="1"/>
    </row>
    <row r="725">
      <c r="A725" s="1"/>
      <c r="H725" s="1"/>
    </row>
    <row r="726">
      <c r="A726" s="1"/>
      <c r="H726" s="1"/>
    </row>
    <row r="727">
      <c r="A727" s="1"/>
      <c r="H727" s="1"/>
    </row>
    <row r="728">
      <c r="A728" s="1"/>
      <c r="H728" s="1"/>
    </row>
    <row r="729">
      <c r="A729" s="1"/>
      <c r="H729" s="1"/>
    </row>
    <row r="730">
      <c r="A730" s="1"/>
      <c r="H730" s="1"/>
    </row>
    <row r="731">
      <c r="A731" s="1"/>
      <c r="H731" s="1"/>
    </row>
    <row r="732">
      <c r="A732" s="1"/>
      <c r="H732" s="1"/>
    </row>
    <row r="733">
      <c r="A733" s="1"/>
      <c r="H733" s="1"/>
    </row>
    <row r="734">
      <c r="A734" s="1"/>
      <c r="H734" s="1"/>
    </row>
    <row r="735">
      <c r="A735" s="1"/>
      <c r="H735" s="1"/>
    </row>
    <row r="736">
      <c r="A736" s="1"/>
      <c r="H736" s="1"/>
    </row>
    <row r="737">
      <c r="A737" s="1"/>
      <c r="H737" s="1"/>
    </row>
    <row r="738">
      <c r="A738" s="1"/>
      <c r="H738" s="1"/>
    </row>
    <row r="739">
      <c r="A739" s="1"/>
      <c r="H739" s="1"/>
    </row>
    <row r="740">
      <c r="A740" s="1"/>
      <c r="H740" s="1"/>
    </row>
    <row r="741">
      <c r="A741" s="1"/>
      <c r="H741" s="1"/>
    </row>
    <row r="742">
      <c r="A742" s="1"/>
      <c r="H742" s="1"/>
    </row>
    <row r="743">
      <c r="A743" s="1"/>
      <c r="H743" s="1"/>
    </row>
    <row r="744">
      <c r="A744" s="1"/>
      <c r="H744" s="1"/>
    </row>
    <row r="745">
      <c r="A745" s="1"/>
      <c r="H745" s="1"/>
    </row>
    <row r="746">
      <c r="A746" s="1"/>
      <c r="H746" s="1"/>
    </row>
    <row r="747">
      <c r="A747" s="1"/>
      <c r="H747" s="1"/>
    </row>
    <row r="748">
      <c r="A748" s="1"/>
      <c r="H748" s="1"/>
    </row>
    <row r="749">
      <c r="A749" s="1"/>
      <c r="H749" s="1"/>
    </row>
    <row r="750">
      <c r="A750" s="1"/>
      <c r="H750" s="1"/>
    </row>
    <row r="751">
      <c r="A751" s="1"/>
      <c r="H751" s="1"/>
    </row>
    <row r="752">
      <c r="A752" s="1"/>
      <c r="H752" s="1"/>
    </row>
    <row r="753">
      <c r="A753" s="1"/>
      <c r="H753" s="1"/>
    </row>
    <row r="754">
      <c r="A754" s="1"/>
      <c r="H754" s="1"/>
    </row>
    <row r="755">
      <c r="A755" s="1"/>
      <c r="H755" s="1"/>
    </row>
    <row r="756">
      <c r="A756" s="1"/>
      <c r="H756" s="1"/>
    </row>
    <row r="757">
      <c r="A757" s="1"/>
      <c r="H757" s="1"/>
    </row>
    <row r="758">
      <c r="A758" s="1"/>
      <c r="H758" s="1"/>
    </row>
    <row r="759">
      <c r="A759" s="1"/>
      <c r="H759" s="1"/>
    </row>
    <row r="760">
      <c r="A760" s="1"/>
      <c r="H760" s="1"/>
    </row>
    <row r="761">
      <c r="A761" s="1"/>
      <c r="H761" s="1"/>
    </row>
    <row r="762">
      <c r="A762" s="1"/>
      <c r="H762" s="1"/>
    </row>
    <row r="763">
      <c r="A763" s="1"/>
      <c r="H763" s="1"/>
    </row>
    <row r="764">
      <c r="A764" s="1"/>
      <c r="H764" s="1"/>
    </row>
    <row r="765">
      <c r="A765" s="1"/>
      <c r="H765" s="1"/>
    </row>
    <row r="766">
      <c r="A766" s="1"/>
      <c r="H766" s="1"/>
    </row>
    <row r="767">
      <c r="A767" s="1"/>
      <c r="H767" s="1"/>
    </row>
    <row r="768">
      <c r="A768" s="1"/>
      <c r="H768" s="1"/>
    </row>
    <row r="769">
      <c r="A769" s="1"/>
      <c r="H769" s="1"/>
    </row>
    <row r="770">
      <c r="A770" s="1"/>
      <c r="H770" s="1"/>
    </row>
    <row r="771">
      <c r="A771" s="1"/>
      <c r="H771" s="1"/>
    </row>
    <row r="772">
      <c r="A772" s="1"/>
      <c r="H772" s="1"/>
    </row>
    <row r="773">
      <c r="A773" s="1"/>
      <c r="H773" s="1"/>
    </row>
    <row r="774">
      <c r="A774" s="1"/>
      <c r="H774" s="1"/>
    </row>
    <row r="775">
      <c r="A775" s="1"/>
      <c r="H775" s="1"/>
    </row>
    <row r="776">
      <c r="A776" s="1"/>
      <c r="H776" s="1"/>
    </row>
    <row r="777">
      <c r="A777" s="1"/>
      <c r="H777" s="1"/>
    </row>
    <row r="778">
      <c r="A778" s="1"/>
      <c r="H778" s="1"/>
    </row>
    <row r="779">
      <c r="A779" s="1"/>
      <c r="H779" s="1"/>
    </row>
    <row r="780">
      <c r="A780" s="1"/>
      <c r="H780" s="1"/>
    </row>
    <row r="781">
      <c r="A781" s="1"/>
      <c r="H781" s="1"/>
    </row>
    <row r="782">
      <c r="A782" s="1"/>
      <c r="H782" s="1"/>
    </row>
    <row r="783">
      <c r="A783" s="1"/>
      <c r="H783" s="1"/>
    </row>
    <row r="784">
      <c r="A784" s="1"/>
      <c r="H784" s="1"/>
    </row>
    <row r="785">
      <c r="A785" s="1"/>
      <c r="H785" s="1"/>
    </row>
    <row r="786">
      <c r="A786" s="1"/>
      <c r="H786" s="1"/>
    </row>
    <row r="787">
      <c r="A787" s="1"/>
      <c r="H787" s="1"/>
    </row>
    <row r="788">
      <c r="A788" s="1"/>
      <c r="H788" s="1"/>
    </row>
    <row r="789">
      <c r="A789" s="1"/>
      <c r="H789" s="1"/>
    </row>
    <row r="790">
      <c r="A790" s="1"/>
      <c r="H790" s="1"/>
    </row>
    <row r="791">
      <c r="A791" s="1"/>
      <c r="H791" s="1"/>
    </row>
    <row r="792">
      <c r="A792" s="1"/>
      <c r="H792" s="1"/>
    </row>
    <row r="793">
      <c r="A793" s="1"/>
      <c r="H793" s="1"/>
    </row>
    <row r="794">
      <c r="A794" s="1"/>
      <c r="H794" s="1"/>
    </row>
    <row r="795">
      <c r="A795" s="1"/>
      <c r="H795" s="1"/>
    </row>
    <row r="796">
      <c r="A796" s="1"/>
      <c r="H796" s="1"/>
    </row>
    <row r="797">
      <c r="A797" s="1"/>
      <c r="H797" s="1"/>
    </row>
    <row r="798">
      <c r="A798" s="1"/>
      <c r="H798" s="1"/>
    </row>
    <row r="799">
      <c r="A799" s="1"/>
      <c r="H799" s="1"/>
    </row>
    <row r="800">
      <c r="A800" s="1"/>
      <c r="H800" s="1"/>
    </row>
    <row r="801">
      <c r="A801" s="1"/>
      <c r="H801" s="1"/>
    </row>
    <row r="802">
      <c r="A802" s="1"/>
      <c r="H802" s="1"/>
    </row>
    <row r="803">
      <c r="A803" s="1"/>
      <c r="H803" s="1"/>
    </row>
    <row r="804">
      <c r="A804" s="1"/>
      <c r="H804" s="1"/>
    </row>
    <row r="805">
      <c r="A805" s="1"/>
      <c r="H805" s="1"/>
    </row>
    <row r="806">
      <c r="A806" s="1"/>
      <c r="H806" s="1"/>
    </row>
    <row r="807">
      <c r="A807" s="1"/>
      <c r="H807" s="1"/>
    </row>
    <row r="808">
      <c r="A808" s="1"/>
      <c r="H808" s="1"/>
    </row>
    <row r="809">
      <c r="A809" s="1"/>
      <c r="H809" s="1"/>
    </row>
    <row r="810">
      <c r="A810" s="1"/>
      <c r="H810" s="1"/>
    </row>
    <row r="811">
      <c r="A811" s="1"/>
      <c r="H811" s="1"/>
    </row>
    <row r="812">
      <c r="A812" s="1"/>
      <c r="H812" s="1"/>
    </row>
    <row r="813">
      <c r="A813" s="1"/>
      <c r="H813" s="1"/>
    </row>
    <row r="814">
      <c r="A814" s="1"/>
      <c r="H814" s="1"/>
    </row>
    <row r="815">
      <c r="A815" s="1"/>
      <c r="H815" s="1"/>
    </row>
    <row r="816">
      <c r="A816" s="1"/>
      <c r="H816" s="1"/>
    </row>
    <row r="817">
      <c r="A817" s="1"/>
      <c r="H817" s="1"/>
    </row>
    <row r="818">
      <c r="A818" s="1"/>
      <c r="H818" s="1"/>
    </row>
    <row r="819">
      <c r="A819" s="1"/>
      <c r="H819" s="1"/>
    </row>
    <row r="820">
      <c r="A820" s="1"/>
      <c r="H820" s="1"/>
    </row>
    <row r="821">
      <c r="A821" s="1"/>
      <c r="H821" s="1"/>
    </row>
    <row r="822">
      <c r="A822" s="1"/>
      <c r="H822" s="1"/>
    </row>
    <row r="823">
      <c r="A823" s="1"/>
      <c r="H823" s="1"/>
    </row>
    <row r="824">
      <c r="A824" s="1"/>
      <c r="H824" s="1"/>
    </row>
    <row r="825">
      <c r="A825" s="1"/>
      <c r="H825" s="1"/>
    </row>
    <row r="826">
      <c r="A826" s="1"/>
      <c r="H826" s="1"/>
    </row>
    <row r="827">
      <c r="A827" s="1"/>
      <c r="H827" s="1"/>
    </row>
    <row r="828">
      <c r="A828" s="1"/>
      <c r="H828" s="1"/>
    </row>
    <row r="829">
      <c r="A829" s="1"/>
      <c r="H829" s="1"/>
    </row>
    <row r="830">
      <c r="A830" s="1"/>
      <c r="H830" s="1"/>
    </row>
    <row r="831">
      <c r="A831" s="1"/>
      <c r="H831" s="1"/>
    </row>
    <row r="832">
      <c r="A832" s="1"/>
      <c r="H832" s="1"/>
    </row>
    <row r="833">
      <c r="A833" s="1"/>
      <c r="H833" s="1"/>
    </row>
    <row r="834">
      <c r="A834" s="1"/>
      <c r="H834" s="1"/>
    </row>
    <row r="835">
      <c r="A835" s="1"/>
      <c r="H835" s="1"/>
    </row>
    <row r="836">
      <c r="A836" s="1"/>
      <c r="H836" s="1"/>
    </row>
    <row r="837">
      <c r="A837" s="1"/>
      <c r="H837" s="1"/>
    </row>
    <row r="838">
      <c r="A838" s="1"/>
      <c r="H838" s="1"/>
    </row>
    <row r="839">
      <c r="A839" s="1"/>
      <c r="H839" s="1"/>
    </row>
    <row r="840">
      <c r="A840" s="1"/>
      <c r="H840" s="1"/>
    </row>
    <row r="841">
      <c r="A841" s="1"/>
      <c r="H841" s="1"/>
    </row>
    <row r="842">
      <c r="A842" s="1"/>
      <c r="H842" s="1"/>
    </row>
    <row r="843">
      <c r="A843" s="1"/>
      <c r="H843" s="1"/>
    </row>
    <row r="844">
      <c r="A844" s="1"/>
      <c r="H844" s="1"/>
    </row>
    <row r="845">
      <c r="A845" s="1"/>
      <c r="H845" s="1"/>
    </row>
    <row r="846">
      <c r="A846" s="1"/>
      <c r="H846" s="1"/>
    </row>
    <row r="847">
      <c r="A847" s="1"/>
      <c r="H847" s="1"/>
    </row>
    <row r="848">
      <c r="A848" s="1"/>
      <c r="H848" s="1"/>
    </row>
    <row r="849">
      <c r="A849" s="1"/>
      <c r="H849" s="1"/>
    </row>
    <row r="850">
      <c r="A850" s="1"/>
      <c r="H850" s="1"/>
    </row>
    <row r="851">
      <c r="A851" s="1"/>
      <c r="H851" s="1"/>
    </row>
    <row r="852">
      <c r="A852" s="1"/>
      <c r="H852" s="1"/>
    </row>
    <row r="853">
      <c r="A853" s="1"/>
      <c r="H853" s="1"/>
    </row>
    <row r="854">
      <c r="A854" s="1"/>
      <c r="H854" s="1"/>
    </row>
    <row r="855">
      <c r="A855" s="1"/>
      <c r="H855" s="1"/>
    </row>
    <row r="856">
      <c r="A856" s="1"/>
      <c r="H856" s="1"/>
    </row>
    <row r="857">
      <c r="A857" s="1"/>
      <c r="H857" s="1"/>
    </row>
    <row r="858">
      <c r="A858" s="1"/>
      <c r="H858" s="1"/>
    </row>
    <row r="859">
      <c r="A859" s="1"/>
      <c r="H859" s="1"/>
    </row>
    <row r="860">
      <c r="A860" s="1"/>
      <c r="H860" s="1"/>
    </row>
    <row r="861">
      <c r="A861" s="1"/>
      <c r="H861" s="1"/>
    </row>
    <row r="862">
      <c r="A862" s="1"/>
      <c r="H862" s="1"/>
    </row>
    <row r="863">
      <c r="A863" s="1"/>
      <c r="H863" s="1"/>
    </row>
    <row r="864">
      <c r="A864" s="1"/>
      <c r="H864" s="1"/>
    </row>
    <row r="865">
      <c r="A865" s="1"/>
      <c r="H865" s="1"/>
    </row>
    <row r="866">
      <c r="A866" s="1"/>
      <c r="H866" s="1"/>
    </row>
    <row r="867">
      <c r="A867" s="1"/>
      <c r="H867" s="1"/>
    </row>
    <row r="868">
      <c r="A868" s="1"/>
      <c r="H868" s="1"/>
    </row>
    <row r="869">
      <c r="A869" s="1"/>
      <c r="H869" s="1"/>
    </row>
    <row r="870">
      <c r="A870" s="1"/>
      <c r="H870" s="1"/>
    </row>
    <row r="871">
      <c r="A871" s="1"/>
      <c r="H871" s="1"/>
    </row>
    <row r="872">
      <c r="A872" s="1"/>
      <c r="H872" s="1"/>
    </row>
    <row r="873">
      <c r="A873" s="1"/>
      <c r="H873" s="1"/>
    </row>
    <row r="874">
      <c r="A874" s="1"/>
      <c r="H874" s="1"/>
    </row>
    <row r="875">
      <c r="A875" s="1"/>
      <c r="H875" s="1"/>
    </row>
    <row r="876">
      <c r="A876" s="1"/>
      <c r="H876" s="1"/>
    </row>
    <row r="877">
      <c r="A877" s="1"/>
      <c r="H877" s="1"/>
    </row>
    <row r="878">
      <c r="A878" s="1"/>
      <c r="H878" s="1"/>
    </row>
    <row r="879">
      <c r="A879" s="1"/>
      <c r="H879" s="1"/>
    </row>
    <row r="880">
      <c r="A880" s="1"/>
      <c r="H880" s="1"/>
    </row>
    <row r="881">
      <c r="A881" s="1"/>
      <c r="H881" s="1"/>
    </row>
    <row r="882">
      <c r="A882" s="1"/>
      <c r="H882" s="1"/>
    </row>
    <row r="883">
      <c r="A883" s="1"/>
      <c r="H883" s="1"/>
    </row>
    <row r="884">
      <c r="A884" s="1"/>
      <c r="H884" s="1"/>
    </row>
    <row r="885">
      <c r="A885" s="1"/>
      <c r="H885" s="1"/>
    </row>
    <row r="886">
      <c r="A886" s="1"/>
      <c r="H886" s="1"/>
    </row>
    <row r="887">
      <c r="A887" s="1"/>
      <c r="H887" s="1"/>
    </row>
    <row r="888">
      <c r="A888" s="1"/>
      <c r="H888" s="1"/>
    </row>
    <row r="889">
      <c r="A889" s="1"/>
      <c r="H889" s="1"/>
    </row>
    <row r="890">
      <c r="A890" s="1"/>
      <c r="H890" s="1"/>
    </row>
    <row r="891">
      <c r="A891" s="1"/>
      <c r="H891" s="1"/>
    </row>
    <row r="892">
      <c r="A892" s="1"/>
      <c r="H892" s="1"/>
    </row>
    <row r="893">
      <c r="A893" s="1"/>
      <c r="H893" s="1"/>
    </row>
    <row r="894">
      <c r="A894" s="1"/>
      <c r="H894" s="1"/>
    </row>
    <row r="895">
      <c r="A895" s="1"/>
      <c r="H895" s="1"/>
    </row>
    <row r="896">
      <c r="A896" s="1"/>
      <c r="H896" s="1"/>
    </row>
    <row r="897">
      <c r="A897" s="1"/>
      <c r="H897" s="1"/>
    </row>
    <row r="898">
      <c r="A898" s="1"/>
      <c r="H898" s="1"/>
    </row>
    <row r="899">
      <c r="A899" s="1"/>
      <c r="H899" s="1"/>
    </row>
    <row r="900">
      <c r="A900" s="1"/>
      <c r="H900" s="1"/>
    </row>
    <row r="901">
      <c r="A901" s="1"/>
      <c r="H901" s="1"/>
    </row>
    <row r="902">
      <c r="A902" s="1"/>
      <c r="H902" s="1"/>
    </row>
    <row r="903">
      <c r="A903" s="1"/>
      <c r="H903" s="1"/>
    </row>
    <row r="904">
      <c r="A904" s="1"/>
      <c r="H904" s="1"/>
    </row>
    <row r="905">
      <c r="A905" s="1"/>
      <c r="H905" s="1"/>
    </row>
    <row r="906">
      <c r="A906" s="1"/>
      <c r="H906" s="1"/>
    </row>
    <row r="907">
      <c r="A907" s="1"/>
      <c r="H907" s="1"/>
    </row>
    <row r="908">
      <c r="A908" s="1"/>
      <c r="H908" s="1"/>
    </row>
    <row r="909">
      <c r="A909" s="1"/>
      <c r="H909" s="1"/>
    </row>
    <row r="910">
      <c r="A910" s="1"/>
      <c r="H910" s="1"/>
    </row>
    <row r="911">
      <c r="A911" s="1"/>
      <c r="H911" s="1"/>
    </row>
    <row r="912">
      <c r="A912" s="1"/>
      <c r="H912" s="1"/>
    </row>
    <row r="913">
      <c r="A913" s="1"/>
      <c r="H913" s="1"/>
    </row>
    <row r="914">
      <c r="A914" s="1"/>
      <c r="H914" s="1"/>
    </row>
    <row r="915">
      <c r="A915" s="1"/>
      <c r="H915" s="1"/>
    </row>
    <row r="916">
      <c r="A916" s="1"/>
      <c r="H916" s="1"/>
    </row>
    <row r="917">
      <c r="A917" s="1"/>
      <c r="H917" s="1"/>
    </row>
    <row r="918">
      <c r="A918" s="1"/>
      <c r="H918" s="1"/>
    </row>
    <row r="919">
      <c r="A919" s="1"/>
      <c r="H919" s="1"/>
    </row>
    <row r="920">
      <c r="A920" s="1"/>
      <c r="H920" s="1"/>
    </row>
    <row r="921">
      <c r="A921" s="1"/>
      <c r="H921" s="1"/>
    </row>
    <row r="922">
      <c r="A922" s="1"/>
      <c r="H922" s="1"/>
    </row>
    <row r="923">
      <c r="A923" s="1"/>
      <c r="H923" s="1"/>
    </row>
    <row r="924">
      <c r="A924" s="1"/>
      <c r="H924" s="1"/>
    </row>
    <row r="925">
      <c r="A925" s="1"/>
      <c r="H925" s="1"/>
    </row>
    <row r="926">
      <c r="A926" s="1"/>
      <c r="H926" s="1"/>
    </row>
    <row r="927">
      <c r="A927" s="1"/>
      <c r="H927" s="1"/>
    </row>
    <row r="928">
      <c r="A928" s="1"/>
      <c r="H928" s="1"/>
    </row>
    <row r="929">
      <c r="A929" s="1"/>
      <c r="H929" s="1"/>
    </row>
    <row r="930">
      <c r="A930" s="1"/>
      <c r="H930" s="1"/>
    </row>
    <row r="931">
      <c r="A931" s="1"/>
      <c r="H931" s="1"/>
    </row>
    <row r="932">
      <c r="A932" s="1"/>
      <c r="H932" s="1"/>
    </row>
    <row r="933">
      <c r="A933" s="1"/>
      <c r="H933" s="1"/>
    </row>
    <row r="934">
      <c r="A934" s="1"/>
      <c r="H934" s="1"/>
    </row>
    <row r="935">
      <c r="A935" s="1"/>
      <c r="H935" s="1"/>
    </row>
    <row r="936">
      <c r="A936" s="1"/>
      <c r="H936" s="1"/>
    </row>
    <row r="937">
      <c r="A937" s="1"/>
      <c r="H937" s="1"/>
    </row>
    <row r="938">
      <c r="A938" s="1"/>
      <c r="H938" s="1"/>
    </row>
    <row r="939">
      <c r="A939" s="1"/>
      <c r="H939" s="1"/>
    </row>
    <row r="940">
      <c r="A940" s="1"/>
      <c r="H940" s="1"/>
    </row>
    <row r="941">
      <c r="A941" s="1"/>
      <c r="H941" s="1"/>
    </row>
    <row r="942">
      <c r="A942" s="1"/>
      <c r="H942" s="1"/>
    </row>
    <row r="943">
      <c r="A943" s="1"/>
      <c r="H943" s="1"/>
    </row>
    <row r="944">
      <c r="A944" s="1"/>
      <c r="H944" s="1"/>
    </row>
    <row r="945">
      <c r="A945" s="1"/>
      <c r="H945" s="1"/>
    </row>
    <row r="946">
      <c r="A946" s="1"/>
      <c r="H946" s="1"/>
    </row>
    <row r="947">
      <c r="A947" s="1"/>
      <c r="H947" s="1"/>
    </row>
    <row r="948">
      <c r="A948" s="1"/>
      <c r="H948" s="1"/>
    </row>
    <row r="949">
      <c r="A949" s="1"/>
      <c r="H949" s="1"/>
    </row>
    <row r="950">
      <c r="A950" s="1"/>
      <c r="H950" s="1"/>
    </row>
    <row r="951">
      <c r="A951" s="1"/>
      <c r="H951" s="1"/>
    </row>
    <row r="952">
      <c r="A952" s="1"/>
      <c r="H952" s="1"/>
    </row>
    <row r="953">
      <c r="A953" s="1"/>
      <c r="H953" s="1"/>
    </row>
    <row r="954">
      <c r="A954" s="1"/>
      <c r="H954" s="1"/>
    </row>
    <row r="955">
      <c r="A955" s="1"/>
      <c r="H955" s="1"/>
    </row>
    <row r="956">
      <c r="A956" s="1"/>
      <c r="H956" s="1"/>
    </row>
    <row r="957">
      <c r="A957" s="1"/>
      <c r="H957" s="1"/>
    </row>
    <row r="958">
      <c r="A958" s="1"/>
      <c r="H958" s="1"/>
    </row>
    <row r="959">
      <c r="A959" s="1"/>
      <c r="H959" s="1"/>
    </row>
    <row r="960">
      <c r="A960" s="1"/>
      <c r="H960" s="1"/>
    </row>
    <row r="961">
      <c r="A961" s="1"/>
      <c r="H961" s="1"/>
    </row>
    <row r="962">
      <c r="A962" s="1"/>
      <c r="H962" s="1"/>
    </row>
    <row r="963">
      <c r="A963" s="1"/>
      <c r="H963" s="1"/>
    </row>
    <row r="964">
      <c r="A964" s="1"/>
      <c r="H964" s="1"/>
    </row>
    <row r="965">
      <c r="A965" s="1"/>
      <c r="H965" s="1"/>
    </row>
    <row r="966">
      <c r="A966" s="1"/>
      <c r="H966" s="1"/>
    </row>
    <row r="967">
      <c r="A967" s="1"/>
      <c r="H967" s="1"/>
    </row>
    <row r="968">
      <c r="A968" s="1"/>
      <c r="H968" s="1"/>
    </row>
    <row r="969">
      <c r="A969" s="1"/>
      <c r="H969" s="1"/>
    </row>
    <row r="970">
      <c r="A970" s="1"/>
      <c r="H970" s="1"/>
    </row>
    <row r="971">
      <c r="A971" s="1"/>
      <c r="H971" s="1"/>
    </row>
    <row r="972">
      <c r="A972" s="1"/>
      <c r="H972" s="1"/>
    </row>
    <row r="973">
      <c r="A973" s="1"/>
      <c r="H973" s="1"/>
    </row>
    <row r="974">
      <c r="A974" s="1"/>
      <c r="H974" s="1"/>
    </row>
    <row r="975">
      <c r="A975" s="1"/>
      <c r="H975" s="1"/>
    </row>
    <row r="976">
      <c r="A976" s="1"/>
      <c r="H976" s="1"/>
    </row>
    <row r="977">
      <c r="A977" s="1"/>
      <c r="H977" s="1"/>
    </row>
    <row r="978">
      <c r="A978" s="1"/>
      <c r="H978" s="1"/>
    </row>
    <row r="979">
      <c r="A979" s="1"/>
      <c r="H979" s="1"/>
    </row>
    <row r="980">
      <c r="A980" s="1"/>
      <c r="H980" s="1"/>
    </row>
    <row r="981">
      <c r="A981" s="1"/>
      <c r="H981" s="1"/>
    </row>
    <row r="982">
      <c r="A982" s="1"/>
      <c r="H982" s="1"/>
    </row>
    <row r="983">
      <c r="A983" s="1"/>
      <c r="H983" s="1"/>
    </row>
    <row r="984">
      <c r="A984" s="1"/>
      <c r="H984" s="1"/>
    </row>
    <row r="985">
      <c r="A985" s="1"/>
      <c r="H985" s="1"/>
    </row>
    <row r="986">
      <c r="A986" s="1"/>
      <c r="H986" s="1"/>
    </row>
    <row r="987">
      <c r="A987" s="1"/>
      <c r="H987" s="1"/>
    </row>
    <row r="988">
      <c r="A988" s="1"/>
      <c r="H988" s="1"/>
    </row>
    <row r="989">
      <c r="A989" s="1"/>
      <c r="H989" s="1"/>
    </row>
    <row r="990">
      <c r="A990" s="1"/>
      <c r="H990" s="1"/>
    </row>
    <row r="991">
      <c r="A991" s="1"/>
      <c r="H991" s="1"/>
    </row>
    <row r="992">
      <c r="A992" s="1"/>
      <c r="H992" s="1"/>
    </row>
    <row r="993">
      <c r="A993" s="1"/>
      <c r="H993" s="1"/>
    </row>
    <row r="994">
      <c r="A994" s="1"/>
      <c r="H994" s="1"/>
    </row>
    <row r="995">
      <c r="A995" s="1"/>
      <c r="H995" s="1"/>
    </row>
    <row r="996">
      <c r="A996" s="1"/>
      <c r="H996" s="1"/>
    </row>
    <row r="997">
      <c r="A997" s="1"/>
      <c r="H997" s="1"/>
    </row>
    <row r="998">
      <c r="A998" s="1"/>
      <c r="H998" s="1"/>
    </row>
    <row r="999">
      <c r="A999" s="1"/>
      <c r="H999" s="1"/>
    </row>
    <row r="1000">
      <c r="A1000" s="1"/>
      <c r="H1000" s="1"/>
    </row>
    <row r="1001">
      <c r="A1001" s="1"/>
      <c r="H1001" s="1"/>
    </row>
    <row r="1002">
      <c r="A1002" s="1"/>
      <c r="H1002" s="1"/>
    </row>
    <row r="1003">
      <c r="A1003" s="1"/>
      <c r="H1003" s="1"/>
    </row>
    <row r="1004">
      <c r="A1004" s="1"/>
      <c r="H1004" s="1"/>
    </row>
    <row r="1005">
      <c r="A1005" s="1"/>
      <c r="H1005" s="1"/>
    </row>
    <row r="1006">
      <c r="A1006" s="1"/>
      <c r="H1006" s="1"/>
    </row>
    <row r="1007">
      <c r="A1007" s="1"/>
      <c r="H1007" s="1"/>
    </row>
    <row r="1008">
      <c r="A1008" s="1"/>
      <c r="H1008" s="1"/>
    </row>
    <row r="1009">
      <c r="A1009" s="1"/>
      <c r="H1009" s="1"/>
    </row>
    <row r="1010">
      <c r="A1010" s="1"/>
      <c r="H1010" s="1"/>
    </row>
    <row r="1011">
      <c r="A1011" s="1"/>
      <c r="H1011" s="1"/>
    </row>
    <row r="1012">
      <c r="A1012" s="1"/>
      <c r="H1012" s="1"/>
    </row>
    <row r="1013">
      <c r="A1013" s="1"/>
      <c r="H1013" s="1"/>
    </row>
    <row r="1014">
      <c r="A1014" s="1"/>
      <c r="H1014" s="1"/>
    </row>
    <row r="1015">
      <c r="A1015" s="1"/>
      <c r="H1015" s="1"/>
    </row>
    <row r="1016">
      <c r="A1016" s="1"/>
      <c r="H1016" s="1"/>
    </row>
    <row r="1017">
      <c r="A1017" s="1"/>
      <c r="H1017" s="1"/>
    </row>
    <row r="1018">
      <c r="A1018" s="1"/>
      <c r="H1018" s="1"/>
    </row>
    <row r="1019">
      <c r="A1019" s="1"/>
      <c r="H1019" s="1"/>
    </row>
    <row r="1020">
      <c r="A1020" s="1"/>
      <c r="H1020" s="1"/>
    </row>
    <row r="1021">
      <c r="A1021" s="1"/>
      <c r="H1021" s="1"/>
    </row>
    <row r="1022">
      <c r="A1022" s="1"/>
      <c r="H1022" s="1"/>
    </row>
    <row r="1023">
      <c r="A1023" s="1"/>
      <c r="H1023" s="1"/>
    </row>
    <row r="1024">
      <c r="A1024" s="1"/>
      <c r="H1024" s="1"/>
    </row>
    <row r="1025">
      <c r="A1025" s="1"/>
      <c r="H1025" s="1"/>
    </row>
    <row r="1026">
      <c r="A1026" s="1"/>
      <c r="H1026" s="1"/>
    </row>
    <row r="1027">
      <c r="A1027" s="1"/>
      <c r="H1027" s="1"/>
    </row>
    <row r="1028">
      <c r="A1028" s="1"/>
      <c r="H1028" s="1"/>
    </row>
    <row r="1029">
      <c r="A1029" s="1"/>
      <c r="H1029" s="1"/>
    </row>
    <row r="1030">
      <c r="A1030" s="1"/>
      <c r="H1030" s="1"/>
    </row>
    <row r="1031">
      <c r="A1031" s="1"/>
      <c r="H1031" s="1"/>
    </row>
    <row r="1032">
      <c r="A1032" s="1"/>
      <c r="H1032" s="1"/>
    </row>
    <row r="1033">
      <c r="A1033" s="1"/>
      <c r="H1033" s="1"/>
    </row>
    <row r="1034">
      <c r="A1034" s="1"/>
      <c r="H1034" s="1"/>
    </row>
    <row r="1035">
      <c r="A1035" s="1"/>
      <c r="H1035" s="1"/>
    </row>
    <row r="1036">
      <c r="A1036" s="1"/>
      <c r="H1036" s="1"/>
    </row>
    <row r="1037">
      <c r="A1037" s="1"/>
      <c r="H1037" s="1"/>
    </row>
    <row r="1038">
      <c r="A1038" s="1"/>
      <c r="H1038" s="1"/>
    </row>
    <row r="1039">
      <c r="A1039" s="1"/>
      <c r="H1039" s="1"/>
    </row>
    <row r="1040">
      <c r="A1040" s="1"/>
      <c r="H1040" s="1"/>
    </row>
    <row r="1041">
      <c r="A1041" s="1"/>
      <c r="H1041" s="1"/>
    </row>
    <row r="1042">
      <c r="A1042" s="1"/>
      <c r="H1042" s="1"/>
    </row>
    <row r="1043">
      <c r="A1043" s="1"/>
      <c r="H1043" s="1"/>
    </row>
    <row r="1044">
      <c r="A1044" s="1"/>
      <c r="H1044" s="1"/>
    </row>
    <row r="1045">
      <c r="A1045" s="1"/>
      <c r="H1045" s="1"/>
    </row>
    <row r="1046">
      <c r="A1046" s="1"/>
      <c r="H1046" s="1"/>
    </row>
    <row r="1047">
      <c r="A1047" s="1"/>
      <c r="H1047" s="1"/>
    </row>
    <row r="1048">
      <c r="A1048" s="1"/>
      <c r="H1048" s="1"/>
    </row>
    <row r="1049">
      <c r="A1049" s="1"/>
      <c r="H1049" s="1"/>
    </row>
    <row r="1050">
      <c r="A1050" s="1"/>
      <c r="H1050" s="1"/>
    </row>
    <row r="1051">
      <c r="A1051" s="1"/>
      <c r="H1051" s="1"/>
    </row>
    <row r="1052">
      <c r="A1052" s="1"/>
      <c r="H1052" s="1"/>
    </row>
    <row r="1053">
      <c r="A1053" s="1"/>
      <c r="H1053" s="1"/>
    </row>
    <row r="1054">
      <c r="A1054" s="1"/>
      <c r="H1054" s="1"/>
    </row>
    <row r="1055">
      <c r="A1055" s="1"/>
      <c r="H1055" s="1"/>
    </row>
    <row r="1056">
      <c r="A1056" s="1"/>
      <c r="H1056" s="1"/>
    </row>
    <row r="1057">
      <c r="A1057" s="1"/>
      <c r="H1057" s="1"/>
    </row>
    <row r="1058">
      <c r="A1058" s="1"/>
      <c r="H1058" s="1"/>
    </row>
    <row r="1059">
      <c r="A1059" s="1"/>
      <c r="H1059" s="1"/>
    </row>
    <row r="1060">
      <c r="A1060" s="1"/>
      <c r="H1060" s="1"/>
    </row>
    <row r="1061">
      <c r="A1061" s="1"/>
      <c r="H1061" s="1"/>
    </row>
    <row r="1062">
      <c r="A1062" s="1"/>
      <c r="H1062" s="1"/>
    </row>
    <row r="1063">
      <c r="A1063" s="1"/>
      <c r="H1063" s="1"/>
    </row>
    <row r="1064">
      <c r="A1064" s="1"/>
      <c r="H1064" s="1"/>
    </row>
    <row r="1065">
      <c r="A1065" s="1"/>
      <c r="H1065" s="1"/>
    </row>
    <row r="1066">
      <c r="A1066" s="1"/>
      <c r="H1066" s="1"/>
    </row>
    <row r="1067">
      <c r="A1067" s="1"/>
      <c r="H1067" s="1"/>
    </row>
    <row r="1068">
      <c r="A1068" s="1"/>
      <c r="H1068" s="1"/>
    </row>
    <row r="1069">
      <c r="A1069" s="1"/>
      <c r="H1069" s="1"/>
    </row>
    <row r="1070">
      <c r="A1070" s="1"/>
      <c r="H1070" s="1"/>
    </row>
    <row r="1071">
      <c r="A1071" s="1"/>
      <c r="H1071" s="1"/>
    </row>
    <row r="1072">
      <c r="A1072" s="1"/>
      <c r="H1072" s="1"/>
    </row>
    <row r="1073">
      <c r="A1073" s="1"/>
      <c r="H1073" s="1"/>
    </row>
    <row r="1074">
      <c r="A1074" s="1"/>
      <c r="H1074" s="1"/>
    </row>
    <row r="1075">
      <c r="A1075" s="1"/>
      <c r="H1075" s="1"/>
    </row>
    <row r="1076">
      <c r="A1076" s="1"/>
      <c r="H1076" s="1"/>
    </row>
    <row r="1077">
      <c r="A1077" s="1"/>
      <c r="H1077" s="1"/>
    </row>
    <row r="1078">
      <c r="A1078" s="1"/>
      <c r="H1078" s="1"/>
    </row>
    <row r="1079">
      <c r="A1079" s="1"/>
      <c r="H1079" s="1"/>
    </row>
    <row r="1080">
      <c r="A1080" s="1"/>
      <c r="H1080" s="1"/>
    </row>
    <row r="1081">
      <c r="A1081" s="1"/>
      <c r="H1081" s="1"/>
    </row>
    <row r="1082">
      <c r="A1082" s="1"/>
      <c r="H1082" s="1"/>
    </row>
    <row r="1083">
      <c r="A1083" s="1"/>
      <c r="H1083" s="1"/>
    </row>
    <row r="1084">
      <c r="A1084" s="1"/>
      <c r="H1084" s="1"/>
    </row>
    <row r="1085">
      <c r="A1085" s="1"/>
      <c r="H1085" s="1"/>
    </row>
    <row r="1086">
      <c r="A1086" s="1"/>
      <c r="H1086" s="1"/>
    </row>
    <row r="1087">
      <c r="A1087" s="1"/>
      <c r="H1087" s="1"/>
    </row>
    <row r="1088">
      <c r="A1088" s="1"/>
      <c r="H1088" s="1"/>
    </row>
    <row r="1089">
      <c r="A1089" s="1"/>
      <c r="H1089" s="1"/>
    </row>
    <row r="1090">
      <c r="A1090" s="1"/>
      <c r="H1090" s="1"/>
    </row>
    <row r="1091">
      <c r="A1091" s="1"/>
      <c r="H1091" s="1"/>
    </row>
    <row r="1092">
      <c r="A1092" s="1"/>
      <c r="H1092" s="1"/>
    </row>
    <row r="1093">
      <c r="A1093" s="1"/>
      <c r="H1093" s="1"/>
    </row>
    <row r="1094">
      <c r="A1094" s="1"/>
      <c r="H1094" s="1"/>
    </row>
    <row r="1095">
      <c r="A1095" s="1"/>
      <c r="H1095" s="1"/>
    </row>
    <row r="1096">
      <c r="A1096" s="1"/>
      <c r="H1096" s="1"/>
    </row>
    <row r="1097">
      <c r="A1097" s="1"/>
      <c r="H1097" s="1"/>
    </row>
    <row r="1098">
      <c r="A1098" s="1"/>
      <c r="H1098" s="1"/>
    </row>
    <row r="1099">
      <c r="A1099" s="1"/>
      <c r="H1099" s="1"/>
    </row>
    <row r="1100">
      <c r="A1100" s="1"/>
      <c r="H1100" s="1"/>
    </row>
    <row r="1101">
      <c r="A1101" s="1"/>
      <c r="H1101" s="1"/>
    </row>
    <row r="1102">
      <c r="A1102" s="1"/>
      <c r="H1102" s="1"/>
    </row>
    <row r="1103">
      <c r="A1103" s="1"/>
      <c r="H1103" s="1"/>
    </row>
    <row r="1104">
      <c r="A1104" s="1"/>
      <c r="H1104" s="1"/>
    </row>
    <row r="1105">
      <c r="A1105" s="1"/>
      <c r="H1105" s="1"/>
    </row>
    <row r="1106">
      <c r="A1106" s="1"/>
      <c r="H1106" s="1"/>
    </row>
    <row r="1107">
      <c r="A1107" s="1"/>
      <c r="H1107" s="1"/>
    </row>
    <row r="1108">
      <c r="A1108" s="1"/>
      <c r="H1108" s="1"/>
    </row>
    <row r="1109">
      <c r="A1109" s="1"/>
      <c r="H1109" s="1"/>
    </row>
    <row r="1110">
      <c r="A1110" s="1"/>
      <c r="H1110" s="1"/>
    </row>
    <row r="1111">
      <c r="A1111" s="1"/>
      <c r="H1111" s="1"/>
    </row>
    <row r="1112">
      <c r="A1112" s="1"/>
      <c r="H1112" s="1"/>
    </row>
    <row r="1113">
      <c r="A1113" s="1"/>
      <c r="H1113" s="1"/>
    </row>
    <row r="1114">
      <c r="A1114" s="1"/>
      <c r="H1114" s="1"/>
    </row>
    <row r="1115">
      <c r="A1115" s="1"/>
      <c r="H1115" s="1"/>
    </row>
    <row r="1116">
      <c r="A1116" s="1"/>
      <c r="H1116" s="1"/>
    </row>
    <row r="1117">
      <c r="A1117" s="1"/>
      <c r="H1117" s="1"/>
    </row>
    <row r="1118">
      <c r="A1118" s="1"/>
      <c r="H1118" s="1"/>
    </row>
    <row r="1119">
      <c r="A1119" s="1"/>
      <c r="H1119" s="1"/>
    </row>
    <row r="1120">
      <c r="A1120" s="1"/>
      <c r="H1120" s="1"/>
    </row>
    <row r="1121">
      <c r="A1121" s="1"/>
      <c r="H1121" s="1"/>
    </row>
    <row r="1122">
      <c r="A1122" s="1"/>
      <c r="H1122" s="1"/>
    </row>
    <row r="1123">
      <c r="A1123" s="1"/>
      <c r="H1123" s="1"/>
    </row>
    <row r="1124">
      <c r="A1124" s="1"/>
      <c r="H1124" s="1"/>
    </row>
    <row r="1125">
      <c r="A1125" s="1"/>
      <c r="H1125" s="1"/>
    </row>
    <row r="1126">
      <c r="A1126" s="1"/>
      <c r="H1126" s="1"/>
    </row>
    <row r="1127">
      <c r="A1127" s="1"/>
      <c r="H1127" s="1"/>
    </row>
    <row r="1128">
      <c r="A1128" s="1"/>
      <c r="H1128" s="1"/>
    </row>
    <row r="1129">
      <c r="A1129" s="1"/>
      <c r="H1129" s="1"/>
    </row>
    <row r="1130">
      <c r="A1130" s="1"/>
      <c r="H1130" s="1"/>
    </row>
    <row r="1131">
      <c r="A1131" s="1"/>
      <c r="H1131" s="1"/>
    </row>
    <row r="1132">
      <c r="A1132" s="1"/>
      <c r="H1132" s="1"/>
    </row>
    <row r="1133">
      <c r="A1133" s="1"/>
      <c r="H1133" s="1"/>
    </row>
    <row r="1134">
      <c r="A1134" s="1"/>
      <c r="H1134" s="1"/>
    </row>
    <row r="1135">
      <c r="A1135" s="1"/>
      <c r="H1135" s="1"/>
    </row>
    <row r="1136">
      <c r="A1136" s="1"/>
      <c r="H1136" s="1"/>
    </row>
    <row r="1137">
      <c r="A1137" s="1"/>
      <c r="H1137" s="1"/>
    </row>
    <row r="1138">
      <c r="A1138" s="1"/>
      <c r="H1138" s="1"/>
    </row>
    <row r="1139">
      <c r="A1139" s="1"/>
      <c r="H1139" s="1"/>
    </row>
    <row r="1140">
      <c r="A1140" s="1"/>
      <c r="H1140" s="1"/>
    </row>
    <row r="1141">
      <c r="A1141" s="1"/>
      <c r="H1141" s="1"/>
    </row>
    <row r="1142">
      <c r="A1142" s="1"/>
      <c r="H1142" s="1"/>
    </row>
    <row r="1143">
      <c r="A1143" s="1"/>
      <c r="H1143" s="1"/>
    </row>
    <row r="1144">
      <c r="A1144" s="1"/>
      <c r="H1144" s="1"/>
    </row>
    <row r="1145">
      <c r="A1145" s="1"/>
      <c r="H1145" s="1"/>
    </row>
    <row r="1146">
      <c r="A1146" s="1"/>
      <c r="H1146" s="1"/>
    </row>
    <row r="1147">
      <c r="A1147" s="1"/>
      <c r="H1147" s="1"/>
    </row>
    <row r="1148">
      <c r="A1148" s="1"/>
      <c r="H1148" s="1"/>
    </row>
    <row r="1149">
      <c r="A1149" s="1"/>
      <c r="H1149" s="1"/>
    </row>
    <row r="1150">
      <c r="A1150" s="1"/>
      <c r="H1150" s="1"/>
    </row>
    <row r="1151">
      <c r="A1151" s="1"/>
      <c r="H1151" s="1"/>
    </row>
    <row r="1152">
      <c r="A1152" s="1"/>
      <c r="H1152" s="1"/>
    </row>
    <row r="1153">
      <c r="A1153" s="1"/>
      <c r="H1153" s="1"/>
    </row>
    <row r="1154">
      <c r="A1154" s="1"/>
      <c r="H1154" s="1"/>
    </row>
  </sheetData>
  <mergeCells count="27">
    <mergeCell ref="B1:C1"/>
    <mergeCell ref="A3:H3"/>
    <mergeCell ref="B6:G6"/>
    <mergeCell ref="B8:G8"/>
    <mergeCell ref="B11:G11"/>
    <mergeCell ref="B14:G14"/>
    <mergeCell ref="B18:G18"/>
    <mergeCell ref="B23:G23"/>
    <mergeCell ref="B26:G26"/>
    <mergeCell ref="B30:G30"/>
    <mergeCell ref="A34:H34"/>
    <mergeCell ref="B37:G37"/>
    <mergeCell ref="B41:G41"/>
    <mergeCell ref="B45:G45"/>
    <mergeCell ref="B78:G78"/>
    <mergeCell ref="B84:G84"/>
    <mergeCell ref="B87:G87"/>
    <mergeCell ref="B91:C91"/>
    <mergeCell ref="B92:C92"/>
    <mergeCell ref="B95:C95"/>
    <mergeCell ref="B50:G50"/>
    <mergeCell ref="B53:C53"/>
    <mergeCell ref="B56:C56"/>
    <mergeCell ref="B61:C61"/>
    <mergeCell ref="A68:H68"/>
    <mergeCell ref="B71:G71"/>
    <mergeCell ref="B74:G74"/>
  </mergeCells>
  <conditionalFormatting sqref="B42">
    <cfRule type="expression" dxfId="0" priority="1">
      <formula> Eq(C$27, "Ram")</formula>
    </cfRule>
  </conditionalFormatting>
  <conditionalFormatting sqref="B42">
    <cfRule type="expression" dxfId="1" priority="2">
      <formula> Eq(C$27, "Disk")</formula>
    </cfRule>
  </conditionalFormatting>
  <conditionalFormatting sqref="B43:B44">
    <cfRule type="expression" dxfId="0" priority="3">
      <formula> Eq(C$27, "Disk")</formula>
    </cfRule>
  </conditionalFormatting>
  <conditionalFormatting sqref="B43:B44">
    <cfRule type="expression" dxfId="1" priority="4">
      <formula> Eq(C$27, "Ram")</formula>
    </cfRule>
  </conditionalFormatting>
  <conditionalFormatting sqref="C42:G42">
    <cfRule type="expression" dxfId="0" priority="5">
      <formula> Eq(C$27, "Ram")</formula>
    </cfRule>
  </conditionalFormatting>
  <conditionalFormatting sqref="C42:G42">
    <cfRule type="expression" dxfId="1" priority="6">
      <formula> Eq(C$27, "Disk")</formula>
    </cfRule>
  </conditionalFormatting>
  <conditionalFormatting sqref="C43:G44">
    <cfRule type="expression" dxfId="0" priority="7">
      <formula> Eq(C$27, "Disk")</formula>
    </cfRule>
  </conditionalFormatting>
  <conditionalFormatting sqref="C43:G44">
    <cfRule type="expression" dxfId="1" priority="8">
      <formula> Eq(C$27, "Ram")</formula>
    </cfRule>
  </conditionalFormatting>
  <conditionalFormatting sqref="C75:C77">
    <cfRule type="expression" dxfId="2" priority="9">
      <formula>$C$27="Ram"</formula>
    </cfRule>
  </conditionalFormatting>
  <conditionalFormatting sqref="C72:C73">
    <cfRule type="expression" dxfId="2" priority="10">
      <formula>$C$29="Ram"</formula>
    </cfRule>
  </conditionalFormatting>
  <conditionalFormatting sqref="C79:C81">
    <cfRule type="expression" dxfId="2" priority="11">
      <formula>$C$28="Ram"</formula>
    </cfRule>
  </conditionalFormatting>
  <conditionalFormatting sqref="D72:D73">
    <cfRule type="expression" dxfId="2" priority="12">
      <formula>$D$29="Ram"</formula>
    </cfRule>
  </conditionalFormatting>
  <conditionalFormatting sqref="D75:D77">
    <cfRule type="expression" dxfId="2" priority="13">
      <formula>$D$27="Ram"</formula>
    </cfRule>
  </conditionalFormatting>
  <conditionalFormatting sqref="D79:D81">
    <cfRule type="expression" dxfId="2" priority="14">
      <formula>$D$28="Ram"</formula>
    </cfRule>
  </conditionalFormatting>
  <conditionalFormatting sqref="E72:E73">
    <cfRule type="expression" dxfId="2" priority="15">
      <formula>$E$29="Ram"</formula>
    </cfRule>
  </conditionalFormatting>
  <conditionalFormatting sqref="E75:E77">
    <cfRule type="expression" dxfId="2" priority="16">
      <formula>$E$27="Ram"</formula>
    </cfRule>
  </conditionalFormatting>
  <conditionalFormatting sqref="E79:E81">
    <cfRule type="expression" dxfId="2" priority="17">
      <formula>$E$28="Ram"</formula>
    </cfRule>
  </conditionalFormatting>
  <conditionalFormatting sqref="F72:F73">
    <cfRule type="expression" dxfId="2" priority="18">
      <formula>$F$29="Ram"</formula>
    </cfRule>
  </conditionalFormatting>
  <conditionalFormatting sqref="F75:F77">
    <cfRule type="expression" dxfId="2" priority="19">
      <formula>$F$27="Ram"</formula>
    </cfRule>
  </conditionalFormatting>
  <conditionalFormatting sqref="F79:F81">
    <cfRule type="expression" dxfId="2" priority="20">
      <formula>$F$28="Ram"</formula>
    </cfRule>
  </conditionalFormatting>
  <conditionalFormatting sqref="G72:G73">
    <cfRule type="expression" dxfId="2" priority="21">
      <formula>$G$29="Ram"</formula>
    </cfRule>
  </conditionalFormatting>
  <conditionalFormatting sqref="G75:G77">
    <cfRule type="expression" dxfId="2" priority="22">
      <formula>$G$27="Ram"</formula>
    </cfRule>
  </conditionalFormatting>
  <conditionalFormatting sqref="G79:G81">
    <cfRule type="expression" dxfId="2" priority="23">
      <formula>$G$28="Ram"</formula>
    </cfRule>
  </conditionalFormatting>
  <conditionalFormatting sqref="B49">
    <cfRule type="expression" dxfId="2" priority="24">
      <formula> Eq(C$28, "Ram")</formula>
    </cfRule>
  </conditionalFormatting>
  <conditionalFormatting sqref="C49:G49">
    <cfRule type="expression" dxfId="2" priority="25">
      <formula> Eq(C$28, "Ram")</formula>
    </cfRule>
  </conditionalFormatting>
  <conditionalFormatting sqref="C31:G31">
    <cfRule type="expression" dxfId="2" priority="26">
      <formula> Not(C$28="Disk")</formula>
    </cfRule>
  </conditionalFormatting>
  <conditionalFormatting sqref="B65:C65">
    <cfRule type="expression" dxfId="1" priority="27">
      <formula> Not(Or($C$28="Disk", $D$28="Disk", $E$28="Disk", $F$28="Disk", $G$28="Disk"))</formula>
    </cfRule>
  </conditionalFormatting>
  <dataValidations>
    <dataValidation type="list" allowBlank="1" showErrorMessage="1" sqref="C13:G13">
      <formula1>"0%,5%,10%,15%,20%,25%,30%,35%,40%,45%,50%,55%,60%,65%,70%,75%,80%,85%,90%,95%"</formula1>
    </dataValidation>
    <dataValidation type="list" allowBlank="1" showErrorMessage="1" sqref="C15:G15">
      <formula1>Miscellaneous!$E$2:$E$31</formula1>
    </dataValidation>
    <dataValidation type="list" allowBlank="1" showErrorMessage="1" sqref="C27:G29">
      <formula1>"Disk,Ram"</formula1>
    </dataValidation>
    <dataValidation type="list" allowBlank="1" showErrorMessage="1" sqref="C7:G7">
      <formula1>Miscellaneous!$E$3:$E$7</formula1>
    </dataValidation>
  </dataValidations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0.25"/>
    <col customWidth="1" min="3" max="3" width="12.25"/>
    <col customWidth="1" min="4" max="4" width="2.88"/>
    <col customWidth="1" min="5" max="5" width="27.5"/>
    <col customWidth="1" min="6" max="6" width="15.25"/>
    <col customWidth="1" min="7" max="7" width="2.88"/>
    <col customWidth="1" min="8" max="8" width="10.0"/>
    <col customWidth="1" min="9" max="9" width="13.25"/>
    <col customWidth="1" hidden="1" min="10" max="10" width="10.0"/>
    <col customWidth="1" hidden="1" min="11" max="11" width="12.25"/>
    <col customWidth="1" min="12" max="12" width="2.88"/>
    <col customWidth="1" min="13" max="13" width="10.0"/>
    <col customWidth="1" min="14" max="14" width="15.63"/>
    <col customWidth="1" hidden="1" min="15" max="15" width="10.0"/>
    <col customWidth="1" hidden="1" min="16" max="16" width="15.63"/>
    <col customWidth="1" hidden="1" min="17" max="17" width="10.0"/>
    <col customWidth="1" hidden="1" min="18" max="19" width="15.63"/>
    <col customWidth="1" min="20" max="20" width="2.88"/>
    <col customWidth="1" hidden="1" min="21" max="21" width="11.5"/>
    <col customWidth="1" min="22" max="22" width="12.75"/>
    <col customWidth="1" min="23" max="23" width="5.5"/>
    <col customWidth="1" min="24" max="24" width="11.5"/>
    <col customWidth="1" min="25" max="25" width="11.25"/>
    <col customWidth="1" min="26" max="26" width="14.5"/>
    <col customWidth="1" min="27" max="27" width="16.5"/>
    <col customWidth="1" min="28" max="28" width="18.88"/>
    <col customWidth="1" min="29" max="29" width="2.88"/>
    <col customWidth="1" hidden="1" min="30" max="32" width="3.75"/>
    <col customWidth="1" hidden="1" min="33" max="33" width="5.13"/>
  </cols>
  <sheetData>
    <row r="1">
      <c r="A1" s="1"/>
      <c r="B1" s="1"/>
      <c r="C1" s="75"/>
      <c r="D1" s="3"/>
      <c r="E1" s="3"/>
      <c r="F1" s="3"/>
      <c r="G1" s="3"/>
      <c r="H1" s="1"/>
      <c r="I1" s="7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/>
      <c r="B2" s="77" t="s">
        <v>8</v>
      </c>
      <c r="C2" s="55"/>
      <c r="D2" s="1"/>
      <c r="E2" s="77" t="s">
        <v>81</v>
      </c>
      <c r="F2" s="55"/>
      <c r="G2" s="1"/>
      <c r="H2" s="77" t="s">
        <v>82</v>
      </c>
      <c r="I2" s="78" t="s">
        <v>83</v>
      </c>
      <c r="J2" s="79"/>
      <c r="K2" s="80"/>
      <c r="L2" s="1"/>
      <c r="M2" s="77" t="s">
        <v>82</v>
      </c>
      <c r="N2" s="81" t="s">
        <v>84</v>
      </c>
      <c r="O2" s="82"/>
      <c r="P2" s="79"/>
      <c r="Q2" s="79"/>
      <c r="R2" s="79"/>
      <c r="S2" s="83"/>
      <c r="T2" s="1"/>
      <c r="U2" s="84"/>
      <c r="V2" s="54" t="s">
        <v>85</v>
      </c>
      <c r="W2" s="85"/>
      <c r="X2" s="85"/>
      <c r="Y2" s="85"/>
      <c r="Z2" s="85"/>
      <c r="AA2" s="85"/>
      <c r="AB2" s="55"/>
      <c r="AC2" s="1"/>
      <c r="AD2" s="86">
        <f>if(Miscellaneous!E2*AWS!C$5&gt; 256, "", Miscellaneous!E2*AWS!C$5)</f>
        <v>0</v>
      </c>
      <c r="AE2" s="86">
        <f>IFERROR(__xludf.DUMMYFUNCTION(" filter(Miscellaneous!E2:E12, Miscellaneous!E2:E12&lt;Workload!$C$7)"),0.0)</f>
        <v>0</v>
      </c>
      <c r="AF2" s="86">
        <f>IFERROR(__xludf.DUMMYFUNCTION(" filter(Miscellaneous!E2:E12, Miscellaneous!E2:E12&lt;AWS!$C$5)"),0.0)</f>
        <v>0</v>
      </c>
    </row>
    <row r="3">
      <c r="A3" s="1"/>
      <c r="B3" s="15" t="s">
        <v>86</v>
      </c>
      <c r="C3" s="87" t="s">
        <v>87</v>
      </c>
      <c r="D3" s="1"/>
      <c r="E3" s="45" t="s">
        <v>88</v>
      </c>
      <c r="F3" s="44">
        <f>VLOOKUP(InstanceType,AWS!V4:AB780,2, False)</f>
        <v>1</v>
      </c>
      <c r="G3" s="1"/>
      <c r="H3" s="71" t="str">
        <f t="array" ref="H3:I114">Sort(J3:K114, 2, true)</f>
        <v>i4g</v>
      </c>
      <c r="I3" s="88">
        <v>1463.25</v>
      </c>
      <c r="J3" s="89" t="s">
        <v>89</v>
      </c>
      <c r="K3" s="90" t="str">
        <f>If(C$20 = 0,  Ceiling(($C$19 / VLOOKUp(Concat("$", Concat(J3, ".Search")) ,U$4:AB$780, 4, false) * VLOOKUp(Concat("$", Concat(J3, ".Search")) ,U$4:AB$780, 8, false) / AZ),1) * AZ, 
    If(VLOOKUp(Concat("$", Concat(J3, ".Search")) ,U$4:AB$780, 5, false) = 0 , "N/A", 
        Max( 
             Ceiling(($C$20 / (VLOOKUp(Concat("$", Concat(J3, ".Search")) ,U$4:AB$780, 5, false) * VLOOKUp(Concat("$", Concat(J3, ".Search")) ,U$4:AB$780, 6, false)* (1 - DiskOverprovisioning))) / AZ,1) * AZ , 
             Ceiling(($C$19 / VLOOKUp(Concat("$", Concat(J3, ".Search")) ,U$4:AB$780, 4, false) / AZ),1) * AZ
           ) * VLOOKUp(Concat("$", Concat(J3, ".Search")) ,U$4:AB$780, 8, false)
     )
 )</f>
        <v>N/A</v>
      </c>
      <c r="L3" s="1"/>
      <c r="M3" s="91" t="str">
        <f t="array" ref="M3:O114">Sort(Q3:S114, 3, true)</f>
        <v>i3</v>
      </c>
      <c r="N3" s="92">
        <v>26.475409836065573</v>
      </c>
      <c r="O3" s="93">
        <v>0.362786831410542</v>
      </c>
      <c r="P3" s="94">
        <f t="shared" ref="P3:P114" si="1">VLOOKUp(Concat("$", Concat(Q3, ".Search")) ,U$4:AB$780, 5, false) * VLOOKUp(Concat("$", Concat(Q3, ".Search")) ,U$4:AB$780, 6, false) * (1 - $C$12)/ VLOOKUp(Concat("$", Concat(Q3, ".Search")) ,U$4:AB$780, 4, false)
</f>
        <v>0</v>
      </c>
      <c r="Q3" s="89" t="s">
        <v>89</v>
      </c>
      <c r="R3" s="94" t="str">
        <f t="shared" ref="R3:R114" si="2">if(P3=0, "N/A", P3)</f>
        <v>N/A</v>
      </c>
      <c r="S3" s="92" t="str">
        <f t="shared" ref="S3:S114" si="3">if(P3=0, "N/A", Abs(P3-$C$21))</f>
        <v>N/A</v>
      </c>
      <c r="T3" s="1"/>
      <c r="U3" s="95" t="s">
        <v>90</v>
      </c>
      <c r="V3" s="96" t="s">
        <v>91</v>
      </c>
      <c r="W3" s="97" t="s">
        <v>92</v>
      </c>
      <c r="X3" s="97" t="s">
        <v>93</v>
      </c>
      <c r="Y3" s="97" t="s">
        <v>94</v>
      </c>
      <c r="Z3" s="98" t="s">
        <v>95</v>
      </c>
      <c r="AA3" s="99" t="s">
        <v>96</v>
      </c>
      <c r="AB3" s="100" t="s">
        <v>97</v>
      </c>
      <c r="AC3" s="1"/>
      <c r="AD3" s="86">
        <f>if(Miscellaneous!E3*AWS!C$5&gt; 256, "", Miscellaneous!E3*AWS!C$5)</f>
        <v>1</v>
      </c>
      <c r="AE3" s="86">
        <f>IFERROR(__xludf.DUMMYFUNCTION("""COMPUTED_VALUE"""),1.0)</f>
        <v>1</v>
      </c>
    </row>
    <row r="4">
      <c r="A4" s="1"/>
      <c r="B4" s="15" t="s">
        <v>98</v>
      </c>
      <c r="C4" s="17">
        <v>1.0</v>
      </c>
      <c r="D4" s="1"/>
      <c r="E4" s="42" t="s">
        <v>99</v>
      </c>
      <c r="F4" s="44">
        <f>VLOOKUP(InstanceType,AWS!V4:AB780,3, False)</f>
        <v>3.75</v>
      </c>
      <c r="G4" s="1"/>
      <c r="H4" s="71" t="s">
        <v>100</v>
      </c>
      <c r="I4" s="88">
        <v>1562.2</v>
      </c>
      <c r="J4" s="89" t="s">
        <v>101</v>
      </c>
      <c r="K4" s="90">
        <f>If(C$20 = 0,  Ceiling(($C$19 / VLOOKUp(Concat("$", Concat(J4, ".Search")) ,U$4:AB$780, 4, false) * VLOOKUp(Concat("$", Concat(J4, ".Search")) ,U$4:AB$780, 8, false) / AZ),1) * AZ, 
    If(VLOOKUp(Concat("$", Concat(J4, ".Search")) ,U$4:AB$780, 5, false) = 0 , "N/A", 
        Max( 
             Ceiling(($C$20 / (VLOOKUp(Concat("$", Concat(J4, ".Search")) ,U$4:AB$780, 5, false) * VLOOKUp(Concat("$", Concat(J4, ".Search")) ,U$4:AB$780, 6, false)* (1 - DiskOverprovisioning))) / AZ,1) * AZ , 
             Ceiling(($C$19 / VLOOKUp(Concat("$", Concat(J4, ".Search")) ,U$4:AB$780, 4, false) / AZ),1) * AZ
           ) * VLOOKUp(Concat("$", Concat(J4, ".Search")) ,U$4:AB$780, 8, false)
     )
 )</f>
        <v>12150.12</v>
      </c>
      <c r="L4" s="1"/>
      <c r="M4" s="91" t="s">
        <v>102</v>
      </c>
      <c r="N4" s="92">
        <v>25.234375</v>
      </c>
      <c r="O4" s="93">
        <v>1.6038216674761152</v>
      </c>
      <c r="P4" s="94">
        <f t="shared" si="1"/>
        <v>9.066666667</v>
      </c>
      <c r="Q4" s="89" t="s">
        <v>101</v>
      </c>
      <c r="R4" s="94">
        <f t="shared" si="2"/>
        <v>9.066666667</v>
      </c>
      <c r="S4" s="92">
        <f t="shared" si="3"/>
        <v>17.77153</v>
      </c>
      <c r="T4" s="1"/>
      <c r="U4" s="101" t="s">
        <v>103</v>
      </c>
      <c r="V4" s="91" t="s">
        <v>104</v>
      </c>
      <c r="W4" s="102">
        <v>1.0</v>
      </c>
      <c r="X4" s="102">
        <v>2.0</v>
      </c>
      <c r="Y4" s="102">
        <v>0.0</v>
      </c>
      <c r="Z4" s="103">
        <v>0.0</v>
      </c>
      <c r="AA4" s="104" t="s">
        <v>105</v>
      </c>
      <c r="AB4" s="105">
        <v>11.75</v>
      </c>
      <c r="AC4" s="1"/>
      <c r="AD4" s="86">
        <f>if(Miscellaneous!E4*AWS!C$5&gt; 256, "", Miscellaneous!E4*AWS!C$5)</f>
        <v>2</v>
      </c>
      <c r="AE4" s="86">
        <f>IFERROR(__xludf.DUMMYFUNCTION("""COMPUTED_VALUE"""),2.0)</f>
        <v>2</v>
      </c>
    </row>
    <row r="5">
      <c r="A5" s="1"/>
      <c r="B5" s="15" t="s">
        <v>106</v>
      </c>
      <c r="C5" s="106">
        <v>1.0</v>
      </c>
      <c r="D5" s="1"/>
      <c r="E5" s="45" t="s">
        <v>107</v>
      </c>
      <c r="F5" s="50">
        <f>VLOOKUP(InstanceType,AWS!V4:AB780,5, False)</f>
        <v>0.05</v>
      </c>
      <c r="G5" s="1"/>
      <c r="H5" s="71" t="s">
        <v>108</v>
      </c>
      <c r="I5" s="88">
        <v>1624.25</v>
      </c>
      <c r="J5" s="89" t="s">
        <v>109</v>
      </c>
      <c r="K5" s="90" t="str">
        <f>If(C$20 = 0,  Ceiling(($C$19 / VLOOKUp(Concat("$", Concat(J5, ".Search")) ,U$4:AB$780, 4, false) * VLOOKUp(Concat("$", Concat(J5, ".Search")) ,U$4:AB$780, 8, false) / AZ),1) * AZ, 
    If(VLOOKUp(Concat("$", Concat(J5, ".Search")) ,U$4:AB$780, 5, false) = 0 , "N/A", 
        Max( 
             Ceiling(($C$20 / (VLOOKUp(Concat("$", Concat(J5, ".Search")) ,U$4:AB$780, 5, false) * VLOOKUp(Concat("$", Concat(J5, ".Search")) ,U$4:AB$780, 6, false)* (1 - DiskOverprovisioning))) / AZ,1) * AZ , 
             Ceiling(($C$19 / VLOOKUp(Concat("$", Concat(J5, ".Search")) ,U$4:AB$780, 4, false) / AZ),1) * AZ
           ) * VLOOKUp(Concat("$", Concat(J5, ".Search")) ,U$4:AB$780, 8, false)
     )
 )</f>
        <v>N/A</v>
      </c>
      <c r="L5" s="1"/>
      <c r="M5" s="91" t="s">
        <v>110</v>
      </c>
      <c r="N5" s="92">
        <v>25.234375</v>
      </c>
      <c r="O5" s="93">
        <v>1.6038216674761152</v>
      </c>
      <c r="P5" s="94">
        <f t="shared" si="1"/>
        <v>0</v>
      </c>
      <c r="Q5" s="89" t="s">
        <v>109</v>
      </c>
      <c r="R5" s="94" t="str">
        <f t="shared" si="2"/>
        <v>N/A</v>
      </c>
      <c r="S5" s="92" t="str">
        <f t="shared" si="3"/>
        <v>N/A</v>
      </c>
      <c r="T5" s="1"/>
      <c r="U5" s="101" t="s">
        <v>111</v>
      </c>
      <c r="V5" s="91" t="s">
        <v>112</v>
      </c>
      <c r="W5" s="102">
        <v>2.0</v>
      </c>
      <c r="X5" s="102">
        <v>4.0</v>
      </c>
      <c r="Y5" s="102">
        <v>0.0</v>
      </c>
      <c r="Z5" s="103">
        <v>0.0</v>
      </c>
      <c r="AA5" s="104" t="s">
        <v>105</v>
      </c>
      <c r="AB5" s="105">
        <v>23.43</v>
      </c>
      <c r="AC5" s="1"/>
      <c r="AD5" s="86">
        <f>if(Miscellaneous!E5*AWS!C$5&gt; 256, "", Miscellaneous!E5*AWS!C$5)</f>
        <v>3</v>
      </c>
    </row>
    <row r="6">
      <c r="A6" s="1"/>
      <c r="B6" s="15" t="s">
        <v>113</v>
      </c>
      <c r="C6" s="87">
        <v>0.0</v>
      </c>
      <c r="D6" s="1"/>
      <c r="E6" s="45" t="s">
        <v>114</v>
      </c>
      <c r="F6" s="44">
        <f>VLOOKUP(InstanceType,AWS!V4:AB780,4, False)*InstanceDiskCount</f>
        <v>4</v>
      </c>
      <c r="G6" s="1"/>
      <c r="H6" s="71" t="s">
        <v>115</v>
      </c>
      <c r="I6" s="88">
        <v>1650.95</v>
      </c>
      <c r="J6" s="89" t="s">
        <v>116</v>
      </c>
      <c r="K6" s="90" t="str">
        <f>If(C$20 = 0,  Ceiling(($C$19 / VLOOKUp(Concat("$", Concat(J6, ".Search")) ,U$4:AB$780, 4, false) * VLOOKUp(Concat("$", Concat(J6, ".Search")) ,U$4:AB$780, 8, false) / AZ),1) * AZ, 
    If(VLOOKUp(Concat("$", Concat(J6, ".Search")) ,U$4:AB$780, 5, false) = 0 , "N/A", 
        Max( 
             Ceiling(($C$20 / (VLOOKUp(Concat("$", Concat(J6, ".Search")) ,U$4:AB$780, 5, false) * VLOOKUp(Concat("$", Concat(J6, ".Search")) ,U$4:AB$780, 6, false)* (1 - DiskOverprovisioning))) / AZ,1) * AZ , 
             Ceiling(($C$19 / VLOOKUp(Concat("$", Concat(J6, ".Search")) ,U$4:AB$780, 4, false) / AZ),1) * AZ
           ) * VLOOKUp(Concat("$", Concat(J6, ".Search")) ,U$4:AB$780, 8, false)
     )
 )</f>
        <v>N/A</v>
      </c>
      <c r="L6" s="1"/>
      <c r="M6" s="91" t="s">
        <v>117</v>
      </c>
      <c r="N6" s="92">
        <v>25.234375</v>
      </c>
      <c r="O6" s="93">
        <v>1.6038216674761152</v>
      </c>
      <c r="P6" s="94">
        <f t="shared" si="1"/>
        <v>0</v>
      </c>
      <c r="Q6" s="89" t="s">
        <v>116</v>
      </c>
      <c r="R6" s="94" t="str">
        <f t="shared" si="2"/>
        <v>N/A</v>
      </c>
      <c r="S6" s="92" t="str">
        <f t="shared" si="3"/>
        <v>N/A</v>
      </c>
      <c r="T6" s="1"/>
      <c r="U6" s="101" t="s">
        <v>111</v>
      </c>
      <c r="V6" s="91" t="s">
        <v>118</v>
      </c>
      <c r="W6" s="102">
        <v>4.0</v>
      </c>
      <c r="X6" s="102">
        <v>8.0</v>
      </c>
      <c r="Y6" s="102">
        <v>0.0</v>
      </c>
      <c r="Z6" s="103">
        <v>0.0</v>
      </c>
      <c r="AA6" s="104" t="s">
        <v>105</v>
      </c>
      <c r="AB6" s="105">
        <v>46.94</v>
      </c>
      <c r="AC6" s="1"/>
      <c r="AD6" s="86">
        <f>if(Miscellaneous!E6*AWS!C$5&gt; 256, "", Miscellaneous!E6*AWS!C$5)</f>
        <v>4</v>
      </c>
      <c r="AE6" s="107"/>
      <c r="AF6" s="107"/>
      <c r="AG6" s="107"/>
    </row>
    <row r="7">
      <c r="A7" s="1"/>
      <c r="B7" s="33" t="s">
        <v>119</v>
      </c>
      <c r="C7" s="108" t="b">
        <v>0</v>
      </c>
      <c r="D7" s="1"/>
      <c r="E7" s="45" t="s">
        <v>120</v>
      </c>
      <c r="F7" s="109">
        <v>1500.0</v>
      </c>
      <c r="G7" s="1"/>
      <c r="H7" s="71" t="s">
        <v>121</v>
      </c>
      <c r="I7" s="88">
        <v>1815.95</v>
      </c>
      <c r="J7" s="89" t="s">
        <v>122</v>
      </c>
      <c r="K7" s="90" t="str">
        <f>If(C$20 = 0,  Ceiling(($C$19 / VLOOKUp(Concat("$", Concat(J7, ".Search")) ,U$4:AB$780, 4, false) * VLOOKUp(Concat("$", Concat(J7, ".Search")) ,U$4:AB$780, 8, false) / AZ),1) * AZ, 
    If(VLOOKUp(Concat("$", Concat(J7, ".Search")) ,U$4:AB$780, 5, false) = 0 , "N/A", 
        Max( 
             Ceiling(($C$20 / (VLOOKUp(Concat("$", Concat(J7, ".Search")) ,U$4:AB$780, 5, false) * VLOOKUp(Concat("$", Concat(J7, ".Search")) ,U$4:AB$780, 6, false)* (1 - DiskOverprovisioning))) / AZ,1) * AZ , 
             Ceiling(($C$19 / VLOOKUp(Concat("$", Concat(J7, ".Search")) ,U$4:AB$780, 4, false) / AZ),1) * AZ
           ) * VLOOKUp(Concat("$", Concat(J7, ".Search")) ,U$4:AB$780, 8, false)
     )
 )</f>
        <v>N/A</v>
      </c>
      <c r="L7" s="1"/>
      <c r="M7" s="91" t="s">
        <v>123</v>
      </c>
      <c r="N7" s="92">
        <v>25.234375</v>
      </c>
      <c r="O7" s="93">
        <v>1.6038216674761152</v>
      </c>
      <c r="P7" s="94">
        <f t="shared" si="1"/>
        <v>0</v>
      </c>
      <c r="Q7" s="89" t="s">
        <v>122</v>
      </c>
      <c r="R7" s="94" t="str">
        <f t="shared" si="2"/>
        <v>N/A</v>
      </c>
      <c r="S7" s="92" t="str">
        <f t="shared" si="3"/>
        <v>N/A</v>
      </c>
      <c r="T7" s="1"/>
      <c r="U7" s="101" t="s">
        <v>111</v>
      </c>
      <c r="V7" s="91" t="s">
        <v>124</v>
      </c>
      <c r="W7" s="102">
        <v>8.0</v>
      </c>
      <c r="X7" s="102">
        <v>16.0</v>
      </c>
      <c r="Y7" s="102">
        <v>0.0</v>
      </c>
      <c r="Z7" s="103">
        <v>0.0</v>
      </c>
      <c r="AA7" s="104" t="s">
        <v>105</v>
      </c>
      <c r="AB7" s="105">
        <v>93.81</v>
      </c>
      <c r="AC7" s="1"/>
      <c r="AD7" s="86">
        <f>if(Miscellaneous!E7*AWS!C$5&gt; 256, "", Miscellaneous!E7*AWS!C$5)</f>
        <v>5</v>
      </c>
      <c r="AE7" s="1"/>
      <c r="AF7" s="1"/>
      <c r="AG7" s="1"/>
    </row>
    <row r="8">
      <c r="A8" s="1"/>
      <c r="B8" s="1"/>
      <c r="C8" s="75"/>
      <c r="D8" s="1"/>
      <c r="E8" s="45" t="s">
        <v>125</v>
      </c>
      <c r="F8" s="109">
        <v>320.0</v>
      </c>
      <c r="G8" s="1"/>
      <c r="H8" s="71" t="s">
        <v>126</v>
      </c>
      <c r="I8" s="88">
        <v>2023.56</v>
      </c>
      <c r="J8" s="89" t="s">
        <v>127</v>
      </c>
      <c r="K8" s="90">
        <f>If(C$20 = 0,  Ceiling(($C$19 / VLOOKUp(Concat("$", Concat(J8, ".Search")) ,U$4:AB$780, 4, false) * VLOOKUp(Concat("$", Concat(J8, ".Search")) ,U$4:AB$780, 8, false) / AZ),1) * AZ, 
    If(VLOOKUp(Concat("$", Concat(J8, ".Search")) ,U$4:AB$780, 5, false) = 0 , "N/A", 
        Max( 
             Ceiling(($C$20 / (VLOOKUp(Concat("$", Concat(J8, ".Search")) ,U$4:AB$780, 5, false) * VLOOKUp(Concat("$", Concat(J8, ".Search")) ,U$4:AB$780, 6, false)* (1 - DiskOverprovisioning))) / AZ,1) * AZ , 
             Ceiling(($C$19 / VLOOKUp(Concat("$", Concat(J8, ".Search")) ,U$4:AB$780, 4, false) / AZ),1) * AZ
           ) * VLOOKUp(Concat("$", Concat(J8, ".Search")) ,U$4:AB$780, 8, false)
     )
 )</f>
        <v>5063.28</v>
      </c>
      <c r="L8" s="1"/>
      <c r="M8" s="91" t="s">
        <v>128</v>
      </c>
      <c r="N8" s="92">
        <v>24.90234375</v>
      </c>
      <c r="O8" s="93">
        <v>1.9358529174761152</v>
      </c>
      <c r="P8" s="94">
        <f t="shared" si="1"/>
        <v>15.9375</v>
      </c>
      <c r="Q8" s="89" t="s">
        <v>127</v>
      </c>
      <c r="R8" s="94">
        <f t="shared" si="2"/>
        <v>15.9375</v>
      </c>
      <c r="S8" s="92">
        <f t="shared" si="3"/>
        <v>10.90069667</v>
      </c>
      <c r="T8" s="1"/>
      <c r="U8" s="101" t="s">
        <v>111</v>
      </c>
      <c r="V8" s="91" t="s">
        <v>129</v>
      </c>
      <c r="W8" s="102">
        <v>16.0</v>
      </c>
      <c r="X8" s="102">
        <v>32.0</v>
      </c>
      <c r="Y8" s="102">
        <v>0.0</v>
      </c>
      <c r="Z8" s="103">
        <v>0.0</v>
      </c>
      <c r="AA8" s="104" t="s">
        <v>105</v>
      </c>
      <c r="AB8" s="105">
        <v>187.61</v>
      </c>
      <c r="AC8" s="1"/>
      <c r="AD8" s="86">
        <f>if(Miscellaneous!E8*AWS!C$5&gt; 256, "", Miscellaneous!E8*AWS!C$5)</f>
        <v>6</v>
      </c>
      <c r="AE8" s="110"/>
      <c r="AF8" s="110"/>
      <c r="AG8" s="110"/>
    </row>
    <row r="9">
      <c r="A9" s="1"/>
      <c r="B9" s="54" t="s">
        <v>130</v>
      </c>
      <c r="C9" s="55"/>
      <c r="D9" s="1"/>
      <c r="E9" s="45" t="s">
        <v>131</v>
      </c>
      <c r="F9" s="44">
        <f>AWSDiskIOPS*InstanceDiskCount</f>
        <v>16</v>
      </c>
      <c r="G9" s="1"/>
      <c r="H9" s="71" t="s">
        <v>132</v>
      </c>
      <c r="I9" s="88">
        <v>2250.4500000000003</v>
      </c>
      <c r="J9" s="89" t="s">
        <v>133</v>
      </c>
      <c r="K9" s="90">
        <f>If(C$20 = 0,  Ceiling(($C$19 / VLOOKUp(Concat("$", Concat(J9, ".Search")) ,U$4:AB$780, 4, false) * VLOOKUp(Concat("$", Concat(J9, ".Search")) ,U$4:AB$780, 8, false) / AZ),1) * AZ, 
    If(VLOOKUp(Concat("$", Concat(J9, ".Search")) ,U$4:AB$780, 5, false) = 0 , "N/A", 
        Max( 
             Ceiling(($C$20 / (VLOOKUp(Concat("$", Concat(J9, ".Search")) ,U$4:AB$780, 5, false) * VLOOKUp(Concat("$", Concat(J9, ".Search")) ,U$4:AB$780, 6, false)* (1 - DiskOverprovisioning))) / AZ,1) * AZ , 
             Ceiling(($C$19 / VLOOKUp(Concat("$", Concat(J9, ".Search")) ,U$4:AB$780, 4, false) / AZ),1) * AZ
           ) * VLOOKUp(Concat("$", Concat(J9, ".Search")) ,U$4:AB$780, 8, false)
     )
 )</f>
        <v>8744.67</v>
      </c>
      <c r="L9" s="1"/>
      <c r="M9" s="91" t="s">
        <v>108</v>
      </c>
      <c r="N9" s="92">
        <v>24.90234375</v>
      </c>
      <c r="O9" s="93">
        <v>1.9358529174761152</v>
      </c>
      <c r="P9" s="94">
        <f t="shared" si="1"/>
        <v>10.625</v>
      </c>
      <c r="Q9" s="89" t="s">
        <v>133</v>
      </c>
      <c r="R9" s="94">
        <f t="shared" si="2"/>
        <v>10.625</v>
      </c>
      <c r="S9" s="92">
        <f t="shared" si="3"/>
        <v>16.21319667</v>
      </c>
      <c r="T9" s="1"/>
      <c r="U9" s="101" t="s">
        <v>134</v>
      </c>
      <c r="V9" s="91" t="s">
        <v>135</v>
      </c>
      <c r="W9" s="102">
        <v>2.0</v>
      </c>
      <c r="X9" s="102">
        <v>3.75</v>
      </c>
      <c r="Y9" s="102">
        <v>320.0</v>
      </c>
      <c r="Z9" s="103">
        <f>0.1</f>
        <v>0.1</v>
      </c>
      <c r="AA9" s="104" t="s">
        <v>136</v>
      </c>
      <c r="AB9" s="105">
        <v>53.29</v>
      </c>
      <c r="AC9" s="1"/>
      <c r="AD9" s="86">
        <f>if(Miscellaneous!E9*AWS!C$5&gt; 256, "", Miscellaneous!E9*AWS!C$5)</f>
        <v>7</v>
      </c>
      <c r="AE9" s="110"/>
      <c r="AF9" s="110"/>
      <c r="AG9" s="110"/>
    </row>
    <row r="10">
      <c r="A10" s="1"/>
      <c r="B10" s="111" t="s">
        <v>137</v>
      </c>
      <c r="C10" s="112" t="s">
        <v>138</v>
      </c>
      <c r="D10" s="1"/>
      <c r="E10" s="45" t="s">
        <v>139</v>
      </c>
      <c r="F10" s="44">
        <f>AWSDiskThroughput*InstanceDiskCount</f>
        <v>75</v>
      </c>
      <c r="G10" s="1"/>
      <c r="H10" s="71" t="s">
        <v>102</v>
      </c>
      <c r="I10" s="88">
        <v>2825.7999999999997</v>
      </c>
      <c r="J10" s="89" t="s">
        <v>140</v>
      </c>
      <c r="K10" s="90" t="str">
        <f>If(C$20 = 0,  Ceiling(($C$19 / VLOOKUp(Concat("$", Concat(J10, ".Search")) ,U$4:AB$780, 4, false) * VLOOKUp(Concat("$", Concat(J10, ".Search")) ,U$4:AB$780, 8, false) / AZ),1) * AZ, 
    If(VLOOKUp(Concat("$", Concat(J10, ".Search")) ,U$4:AB$780, 5, false) = 0 , "N/A", 
        Max( 
             Ceiling(($C$20 / (VLOOKUp(Concat("$", Concat(J10, ".Search")) ,U$4:AB$780, 5, false) * VLOOKUp(Concat("$", Concat(J10, ".Search")) ,U$4:AB$780, 6, false)* (1 - DiskOverprovisioning))) / AZ,1) * AZ , 
             Ceiling(($C$19 / VLOOKUp(Concat("$", Concat(J10, ".Search")) ,U$4:AB$780, 4, false) / AZ),1) * AZ
           ) * VLOOKUp(Concat("$", Concat(J10, ".Search")) ,U$4:AB$780, 8, false)
     )
 )</f>
        <v>N/A</v>
      </c>
      <c r="L10" s="1"/>
      <c r="M10" s="91" t="s">
        <v>121</v>
      </c>
      <c r="N10" s="92">
        <v>24.90234375</v>
      </c>
      <c r="O10" s="93">
        <v>1.9358529174761152</v>
      </c>
      <c r="P10" s="94">
        <f t="shared" si="1"/>
        <v>0</v>
      </c>
      <c r="Q10" s="89" t="s">
        <v>140</v>
      </c>
      <c r="R10" s="94" t="str">
        <f t="shared" si="2"/>
        <v>N/A</v>
      </c>
      <c r="S10" s="92" t="str">
        <f t="shared" si="3"/>
        <v>N/A</v>
      </c>
      <c r="T10" s="1"/>
      <c r="U10" s="101" t="s">
        <v>134</v>
      </c>
      <c r="V10" s="91" t="s">
        <v>141</v>
      </c>
      <c r="W10" s="102">
        <v>4.0</v>
      </c>
      <c r="X10" s="102">
        <v>7.5</v>
      </c>
      <c r="Y10" s="102">
        <v>320.0</v>
      </c>
      <c r="Z10" s="103">
        <f>1/4</f>
        <v>0.25</v>
      </c>
      <c r="AA10" s="104" t="s">
        <v>136</v>
      </c>
      <c r="AB10" s="105">
        <v>106.58</v>
      </c>
      <c r="AC10" s="1"/>
      <c r="AD10" s="86">
        <f>if(Miscellaneous!E10*AWS!C$5&gt; 256, "", Miscellaneous!E10*AWS!C$5)</f>
        <v>8</v>
      </c>
      <c r="AE10" s="110"/>
      <c r="AF10" s="110"/>
      <c r="AG10" s="110"/>
    </row>
    <row r="11">
      <c r="A11" s="1"/>
      <c r="B11" s="111" t="s">
        <v>142</v>
      </c>
      <c r="C11" s="113">
        <v>4.0</v>
      </c>
      <c r="D11" s="1"/>
      <c r="E11" s="114" t="s">
        <v>96</v>
      </c>
      <c r="F11" s="115" t="str">
        <f>VLOOKUP(InstanceType,AWS!V4:AB780,6, False)</f>
        <v>Moderate</v>
      </c>
      <c r="G11" s="1"/>
      <c r="H11" s="71" t="s">
        <v>143</v>
      </c>
      <c r="I11" s="88">
        <v>3065.7599999999998</v>
      </c>
      <c r="J11" s="89" t="s">
        <v>144</v>
      </c>
      <c r="K11" s="90" t="str">
        <f>If(C$20 = 0,  Ceiling(($C$19 / VLOOKUp(Concat("$", Concat(J11, ".Search")) ,U$4:AB$780, 4, false) * VLOOKUp(Concat("$", Concat(J11, ".Search")) ,U$4:AB$780, 8, false) / AZ),1) * AZ, 
    If(VLOOKUp(Concat("$", Concat(J11, ".Search")) ,U$4:AB$780, 5, false) = 0 , "N/A", 
        Max( 
             Ceiling(($C$20 / (VLOOKUp(Concat("$", Concat(J11, ".Search")) ,U$4:AB$780, 5, false) * VLOOKUp(Concat("$", Concat(J11, ".Search")) ,U$4:AB$780, 6, false)* (1 - DiskOverprovisioning))) / AZ,1) * AZ , 
             Ceiling(($C$19 / VLOOKUp(Concat("$", Concat(J11, ".Search")) ,U$4:AB$780, 4, false) / AZ),1) * AZ
           ) * VLOOKUp(Concat("$", Concat(J11, ".Search")) ,U$4:AB$780, 8, false)
     )
 )</f>
        <v>N/A</v>
      </c>
      <c r="L11" s="1"/>
      <c r="M11" s="91" t="s">
        <v>115</v>
      </c>
      <c r="N11" s="92">
        <v>24.90234375</v>
      </c>
      <c r="O11" s="93">
        <v>1.9358529174761152</v>
      </c>
      <c r="P11" s="94">
        <f t="shared" si="1"/>
        <v>0</v>
      </c>
      <c r="Q11" s="89" t="s">
        <v>144</v>
      </c>
      <c r="R11" s="94" t="str">
        <f t="shared" si="2"/>
        <v>N/A</v>
      </c>
      <c r="S11" s="92" t="str">
        <f t="shared" si="3"/>
        <v>N/A</v>
      </c>
      <c r="T11" s="1"/>
      <c r="U11" s="101" t="s">
        <v>145</v>
      </c>
      <c r="V11" s="91" t="s">
        <v>146</v>
      </c>
      <c r="W11" s="102">
        <v>8.0</v>
      </c>
      <c r="X11" s="102">
        <v>15.0</v>
      </c>
      <c r="Y11" s="102">
        <v>320.0</v>
      </c>
      <c r="Z11" s="103">
        <f>1/2</f>
        <v>0.5</v>
      </c>
      <c r="AA11" s="104" t="s">
        <v>147</v>
      </c>
      <c r="AB11" s="105">
        <v>213.16</v>
      </c>
      <c r="AC11" s="1"/>
      <c r="AD11" s="86">
        <f>if(Miscellaneous!E11*AWS!C$5&gt; 256, "", Miscellaneous!E11*AWS!C$5)</f>
        <v>9</v>
      </c>
      <c r="AE11" s="110"/>
      <c r="AF11" s="110"/>
      <c r="AG11" s="110"/>
    </row>
    <row r="12">
      <c r="A12" s="1"/>
      <c r="B12" s="72" t="s">
        <v>148</v>
      </c>
      <c r="C12" s="116">
        <v>0.15</v>
      </c>
      <c r="D12" s="1"/>
      <c r="E12" s="117" t="s">
        <v>97</v>
      </c>
      <c r="F12" s="118">
        <f>VLOOKUP(InstanceType,AWS!V4:AB780,7, False)</f>
        <v>35.04</v>
      </c>
      <c r="G12" s="1"/>
      <c r="H12" s="71" t="s">
        <v>149</v>
      </c>
      <c r="I12" s="88">
        <v>3325.8999999999996</v>
      </c>
      <c r="J12" s="89" t="s">
        <v>150</v>
      </c>
      <c r="K12" s="90" t="str">
        <f>If(C$20 = 0,  Ceiling(($C$19 / VLOOKUp(Concat("$", Concat(J12, ".Search")) ,U$4:AB$780, 4, false) * VLOOKUp(Concat("$", Concat(J12, ".Search")) ,U$4:AB$780, 8, false) / AZ),1) * AZ, 
    If(VLOOKUp(Concat("$", Concat(J12, ".Search")) ,U$4:AB$780, 5, false) = 0 , "N/A", 
        Max( 
             Ceiling(($C$20 / (VLOOKUp(Concat("$", Concat(J12, ".Search")) ,U$4:AB$780, 5, false) * VLOOKUp(Concat("$", Concat(J12, ".Search")) ,U$4:AB$780, 6, false)* (1 - DiskOverprovisioning))) / AZ,1) * AZ , 
             Ceiling(($C$19 / VLOOKUp(Concat("$", Concat(J12, ".Search")) ,U$4:AB$780, 4, false) / AZ),1) * AZ
           ) * VLOOKUp(Concat("$", Concat(J12, ".Search")) ,U$4:AB$780, 8, false)
     )
 )</f>
        <v>N/A</v>
      </c>
      <c r="L12" s="1"/>
      <c r="M12" s="91" t="s">
        <v>151</v>
      </c>
      <c r="N12" s="92">
        <v>16.822916666666668</v>
      </c>
      <c r="O12" s="93">
        <v>10.015280000809447</v>
      </c>
      <c r="P12" s="94">
        <f t="shared" si="1"/>
        <v>0</v>
      </c>
      <c r="Q12" s="89" t="s">
        <v>150</v>
      </c>
      <c r="R12" s="94" t="str">
        <f t="shared" si="2"/>
        <v>N/A</v>
      </c>
      <c r="S12" s="92" t="str">
        <f t="shared" si="3"/>
        <v>N/A</v>
      </c>
      <c r="T12" s="1"/>
      <c r="U12" s="101" t="s">
        <v>134</v>
      </c>
      <c r="V12" s="91" t="s">
        <v>152</v>
      </c>
      <c r="W12" s="102">
        <v>16.0</v>
      </c>
      <c r="X12" s="102">
        <v>30.0</v>
      </c>
      <c r="Y12" s="102">
        <v>320.0</v>
      </c>
      <c r="Z12" s="103">
        <v>1.0</v>
      </c>
      <c r="AA12" s="104" t="s">
        <v>147</v>
      </c>
      <c r="AB12" s="105">
        <v>426.32</v>
      </c>
      <c r="AC12" s="1"/>
      <c r="AD12" s="86">
        <f>if(Miscellaneous!E12*AWS!C$5&gt; 256, "", Miscellaneous!E12*AWS!C$5)</f>
        <v>10</v>
      </c>
      <c r="AE12" s="110"/>
      <c r="AF12" s="110"/>
      <c r="AG12" s="110"/>
    </row>
    <row r="13">
      <c r="A13" s="1"/>
      <c r="B13" s="1"/>
      <c r="C13" s="75"/>
      <c r="G13" s="1"/>
      <c r="H13" s="71" t="s">
        <v>117</v>
      </c>
      <c r="I13" s="88">
        <v>3339.0</v>
      </c>
      <c r="J13" s="89" t="s">
        <v>102</v>
      </c>
      <c r="K13" s="90">
        <f>If(C$20 = 0,  Ceiling(($C$19 / VLOOKUp(Concat("$", Concat(J13, ".Search")) ,U$4:AB$780, 4, false) * VLOOKUp(Concat("$", Concat(J13, ".Search")) ,U$4:AB$780, 8, false) / AZ),1) * AZ, 
    If(VLOOKUp(Concat("$", Concat(J13, ".Search")) ,U$4:AB$780, 5, false) = 0 , "N/A", 
        Max( 
             Ceiling(($C$20 / (VLOOKUp(Concat("$", Concat(J13, ".Search")) ,U$4:AB$780, 5, false) * VLOOKUp(Concat("$", Concat(J13, ".Search")) ,U$4:AB$780, 6, false)* (1 - DiskOverprovisioning))) / AZ,1) * AZ , 
             Ceiling(($C$19 / VLOOKUp(Concat("$", Concat(J13, ".Search")) ,U$4:AB$780, 4, false) / AZ),1) * AZ
           ) * VLOOKUp(Concat("$", Concat(J13, ".Search")) ,U$4:AB$780, 8, false)
     )
 )</f>
        <v>2825.8</v>
      </c>
      <c r="L13" s="1"/>
      <c r="M13" s="91" t="s">
        <v>127</v>
      </c>
      <c r="N13" s="92">
        <v>15.9375</v>
      </c>
      <c r="O13" s="93">
        <v>10.900696667476115</v>
      </c>
      <c r="P13" s="94">
        <f t="shared" si="1"/>
        <v>25.234375</v>
      </c>
      <c r="Q13" s="89" t="s">
        <v>102</v>
      </c>
      <c r="R13" s="94">
        <f t="shared" si="2"/>
        <v>25.234375</v>
      </c>
      <c r="S13" s="92">
        <f t="shared" si="3"/>
        <v>1.603821667</v>
      </c>
      <c r="T13" s="1"/>
      <c r="U13" s="101" t="s">
        <v>134</v>
      </c>
      <c r="V13" s="91" t="s">
        <v>153</v>
      </c>
      <c r="W13" s="102">
        <v>32.0</v>
      </c>
      <c r="X13" s="102">
        <v>60.0</v>
      </c>
      <c r="Y13" s="102">
        <v>320.0</v>
      </c>
      <c r="Z13" s="103">
        <v>2.0</v>
      </c>
      <c r="AA13" s="104" t="s">
        <v>154</v>
      </c>
      <c r="AB13" s="105">
        <v>852.64</v>
      </c>
      <c r="AC13" s="1"/>
      <c r="AD13" s="86">
        <f>if(Miscellaneous!E13*AWS!C$5&gt; 256, "", Miscellaneous!E13*AWS!C$5)</f>
        <v>11</v>
      </c>
      <c r="AE13" s="110"/>
      <c r="AF13" s="110"/>
      <c r="AG13" s="110"/>
    </row>
    <row r="14">
      <c r="A14" s="1"/>
      <c r="B14" s="10" t="s">
        <v>155</v>
      </c>
      <c r="C14" s="55"/>
      <c r="D14" s="1"/>
      <c r="G14" s="1"/>
      <c r="H14" s="71" t="s">
        <v>156</v>
      </c>
      <c r="I14" s="88">
        <v>3443.16</v>
      </c>
      <c r="J14" s="89" t="s">
        <v>157</v>
      </c>
      <c r="K14" s="90" t="str">
        <f>If(C$20 = 0,  Ceiling(($C$19 / VLOOKUp(Concat("$", Concat(J14, ".Search")) ,U$4:AB$780, 4, false) * VLOOKUp(Concat("$", Concat(J14, ".Search")) ,U$4:AB$780, 8, false) / AZ),1) * AZ, 
    If(VLOOKUp(Concat("$", Concat(J14, ".Search")) ,U$4:AB$780, 5, false) = 0 , "N/A", 
        Max( 
             Ceiling(($C$20 / (VLOOKUp(Concat("$", Concat(J14, ".Search")) ,U$4:AB$780, 5, false) * VLOOKUp(Concat("$", Concat(J14, ".Search")) ,U$4:AB$780, 6, false)* (1 - DiskOverprovisioning))) / AZ,1) * AZ , 
             Ceiling(($C$19 / VLOOKUp(Concat("$", Concat(J14, ".Search")) ,U$4:AB$780, 4, false) / AZ),1) * AZ
           ) * VLOOKUp(Concat("$", Concat(J14, ".Search")) ,U$4:AB$780, 8, false)
     )
 )</f>
        <v>N/A</v>
      </c>
      <c r="L14" s="1"/>
      <c r="M14" s="91" t="s">
        <v>149</v>
      </c>
      <c r="N14" s="92">
        <v>12.6171875</v>
      </c>
      <c r="O14" s="93">
        <v>14.221009167476115</v>
      </c>
      <c r="P14" s="94">
        <f t="shared" si="1"/>
        <v>0</v>
      </c>
      <c r="Q14" s="89" t="s">
        <v>157</v>
      </c>
      <c r="R14" s="94" t="str">
        <f t="shared" si="2"/>
        <v>N/A</v>
      </c>
      <c r="S14" s="92" t="str">
        <f t="shared" si="3"/>
        <v>N/A</v>
      </c>
      <c r="T14" s="1"/>
      <c r="U14" s="101" t="s">
        <v>158</v>
      </c>
      <c r="V14" s="91" t="s">
        <v>159</v>
      </c>
      <c r="W14" s="102">
        <v>2.0</v>
      </c>
      <c r="X14" s="102">
        <v>3.75</v>
      </c>
      <c r="Y14" s="102">
        <v>0.0</v>
      </c>
      <c r="Z14" s="103">
        <v>0.0</v>
      </c>
      <c r="AA14" s="104" t="s">
        <v>136</v>
      </c>
      <c r="AB14" s="105">
        <v>45.99</v>
      </c>
      <c r="AC14" s="1"/>
      <c r="AD14" s="86">
        <f>if(Miscellaneous!E14*AWS!C$5&gt; 256, "", Miscellaneous!E14*AWS!C$5)</f>
        <v>12</v>
      </c>
      <c r="AE14" s="110"/>
      <c r="AF14" s="110"/>
      <c r="AG14" s="110"/>
    </row>
    <row r="15">
      <c r="A15" s="1"/>
      <c r="B15" s="119" t="s">
        <v>160</v>
      </c>
      <c r="C15" s="120">
        <f>Switch(ResiliencyTarget, "None", 1, "Rack/AZ", (AZ/(AZ-C6)), "Node", (InstanceCount/(InstanceCount-NodeFailure)))</f>
        <v>1</v>
      </c>
      <c r="D15" s="1"/>
      <c r="G15" s="1"/>
      <c r="H15" s="71" t="s">
        <v>110</v>
      </c>
      <c r="I15" s="88">
        <v>3709.9</v>
      </c>
      <c r="J15" s="89" t="s">
        <v>161</v>
      </c>
      <c r="K15" s="90" t="str">
        <f>If(C$20 = 0,  Ceiling(($C$19 / VLOOKUp(Concat("$", Concat(J15, ".Search")) ,U$4:AB$780, 4, false) * VLOOKUp(Concat("$", Concat(J15, ".Search")) ,U$4:AB$780, 8, false) / AZ),1) * AZ, 
    If(VLOOKUp(Concat("$", Concat(J15, ".Search")) ,U$4:AB$780, 5, false) = 0 , "N/A", 
        Max( 
             Ceiling(($C$20 / (VLOOKUp(Concat("$", Concat(J15, ".Search")) ,U$4:AB$780, 5, false) * VLOOKUp(Concat("$", Concat(J15, ".Search")) ,U$4:AB$780, 6, false)* (1 - DiskOverprovisioning))) / AZ,1) * AZ , 
             Ceiling(($C$19 / VLOOKUp(Concat("$", Concat(J15, ".Search")) ,U$4:AB$780, 4, false) / AZ),1) * AZ
           ) * VLOOKUp(Concat("$", Concat(J15, ".Search")) ,U$4:AB$780, 8, false)
     )
 )</f>
        <v>N/A</v>
      </c>
      <c r="L15" s="1"/>
      <c r="M15" s="91" t="s">
        <v>162</v>
      </c>
      <c r="N15" s="92">
        <v>12.6171875</v>
      </c>
      <c r="O15" s="93">
        <v>14.221009167476115</v>
      </c>
      <c r="P15" s="94">
        <f t="shared" si="1"/>
        <v>0</v>
      </c>
      <c r="Q15" s="89" t="s">
        <v>161</v>
      </c>
      <c r="R15" s="94" t="str">
        <f t="shared" si="2"/>
        <v>N/A</v>
      </c>
      <c r="S15" s="92" t="str">
        <f t="shared" si="3"/>
        <v>N/A</v>
      </c>
      <c r="T15" s="1"/>
      <c r="U15" s="101" t="s">
        <v>163</v>
      </c>
      <c r="V15" s="91" t="s">
        <v>164</v>
      </c>
      <c r="W15" s="102">
        <v>4.0</v>
      </c>
      <c r="X15" s="102">
        <v>7.5</v>
      </c>
      <c r="Y15" s="102">
        <v>0.0</v>
      </c>
      <c r="Z15" s="103">
        <v>0.0</v>
      </c>
      <c r="AA15" s="104" t="s">
        <v>147</v>
      </c>
      <c r="AB15" s="105">
        <v>91.98</v>
      </c>
      <c r="AC15" s="1"/>
      <c r="AD15" s="86">
        <f>if(Miscellaneous!E15*AWS!C$5&gt; 256, "", Miscellaneous!E15*AWS!C$5)</f>
        <v>13</v>
      </c>
      <c r="AE15" s="110"/>
      <c r="AF15" s="110"/>
      <c r="AG15" s="110"/>
    </row>
    <row r="16">
      <c r="A16" s="1"/>
      <c r="B16" s="1"/>
      <c r="C16" s="75"/>
      <c r="D16" s="1"/>
      <c r="G16" s="1"/>
      <c r="H16" s="71" t="s">
        <v>123</v>
      </c>
      <c r="I16" s="88">
        <v>3770.6</v>
      </c>
      <c r="J16" s="121" t="s">
        <v>110</v>
      </c>
      <c r="K16" s="90">
        <f>If(C$20 = 0,  Ceiling(($C$19 / VLOOKUp(Concat("$", Concat(J16, ".Search")) ,U$4:AB$780, 4, false) * VLOOKUp(Concat("$", Concat(J16, ".Search")) ,U$4:AB$780, 8, false) / AZ),1) * AZ, 
    If(VLOOKUp(Concat("$", Concat(J16, ".Search")) ,U$4:AB$780, 5, false) = 0 , "N/A", 
        Max( 
             Ceiling(($C$20 / (VLOOKUp(Concat("$", Concat(J16, ".Search")) ,U$4:AB$780, 5, false) * VLOOKUp(Concat("$", Concat(J16, ".Search")) ,U$4:AB$780, 6, false)* (1 - DiskOverprovisioning))) / AZ,1) * AZ , 
             Ceiling(($C$19 / VLOOKUp(Concat("$", Concat(J16, ".Search")) ,U$4:AB$780, 4, false) / AZ),1) * AZ
           ) * VLOOKUp(Concat("$", Concat(J16, ".Search")) ,U$4:AB$780, 8, false)
     )
 )</f>
        <v>3709.9</v>
      </c>
      <c r="L16" s="1"/>
      <c r="M16" s="91" t="s">
        <v>165</v>
      </c>
      <c r="N16" s="92">
        <v>12.6171875</v>
      </c>
      <c r="O16" s="93">
        <v>14.221009167476115</v>
      </c>
      <c r="P16" s="94">
        <f t="shared" si="1"/>
        <v>25.234375</v>
      </c>
      <c r="Q16" s="89" t="s">
        <v>110</v>
      </c>
      <c r="R16" s="94">
        <f t="shared" si="2"/>
        <v>25.234375</v>
      </c>
      <c r="S16" s="92">
        <f t="shared" si="3"/>
        <v>1.603821667</v>
      </c>
      <c r="T16" s="1"/>
      <c r="U16" s="101" t="s">
        <v>163</v>
      </c>
      <c r="V16" s="91" t="s">
        <v>166</v>
      </c>
      <c r="W16" s="102">
        <v>8.0</v>
      </c>
      <c r="X16" s="102">
        <v>15.0</v>
      </c>
      <c r="Y16" s="102">
        <v>0.0</v>
      </c>
      <c r="Z16" s="103">
        <v>0.0</v>
      </c>
      <c r="AA16" s="104" t="s">
        <v>147</v>
      </c>
      <c r="AB16" s="105">
        <v>183.96</v>
      </c>
      <c r="AC16" s="1"/>
      <c r="AD16" s="86">
        <f>if(Miscellaneous!E16*AWS!C$5&gt; 256, "", Miscellaneous!E16*AWS!C$5)</f>
        <v>14</v>
      </c>
      <c r="AE16" s="110"/>
      <c r="AF16" s="110"/>
      <c r="AG16" s="110"/>
    </row>
    <row r="17">
      <c r="A17" s="1"/>
      <c r="B17" s="54" t="s">
        <v>167</v>
      </c>
      <c r="C17" s="55"/>
      <c r="D17" s="1"/>
      <c r="E17" s="54" t="s">
        <v>168</v>
      </c>
      <c r="F17" s="55"/>
      <c r="G17" s="1"/>
      <c r="H17" s="71" t="s">
        <v>169</v>
      </c>
      <c r="I17" s="88">
        <v>3928.8999999999996</v>
      </c>
      <c r="J17" s="89" t="s">
        <v>170</v>
      </c>
      <c r="K17" s="90" t="str">
        <f>If(C$20 = 0,  Ceiling(($C$19 / VLOOKUp(Concat("$", Concat(J17, ".Search")) ,U$4:AB$780, 4, false) * VLOOKUp(Concat("$", Concat(J17, ".Search")) ,U$4:AB$780, 8, false) / AZ),1) * AZ, 
    If(VLOOKUp(Concat("$", Concat(J17, ".Search")) ,U$4:AB$780, 5, false) = 0 , "N/A", 
        Max( 
             Ceiling(($C$20 / (VLOOKUp(Concat("$", Concat(J17, ".Search")) ,U$4:AB$780, 5, false) * VLOOKUp(Concat("$", Concat(J17, ".Search")) ,U$4:AB$780, 6, false)* (1 - DiskOverprovisioning))) / AZ,1) * AZ , 
             Ceiling(($C$19 / VLOOKUp(Concat("$", Concat(J17, ".Search")) ,U$4:AB$780, 4, false) / AZ),1) * AZ
           ) * VLOOKUp(Concat("$", Concat(J17, ".Search")) ,U$4:AB$780, 8, false)
     )
 )</f>
        <v>N/A</v>
      </c>
      <c r="L17" s="1"/>
      <c r="M17" s="91" t="s">
        <v>169</v>
      </c>
      <c r="N17" s="92">
        <v>12.6171875</v>
      </c>
      <c r="O17" s="93">
        <v>14.221009167476115</v>
      </c>
      <c r="P17" s="94">
        <f t="shared" si="1"/>
        <v>0</v>
      </c>
      <c r="Q17" s="89" t="s">
        <v>170</v>
      </c>
      <c r="R17" s="94" t="str">
        <f t="shared" si="2"/>
        <v>N/A</v>
      </c>
      <c r="S17" s="92" t="str">
        <f t="shared" si="3"/>
        <v>N/A</v>
      </c>
      <c r="T17" s="1"/>
      <c r="U17" s="101" t="s">
        <v>163</v>
      </c>
      <c r="V17" s="91" t="s">
        <v>171</v>
      </c>
      <c r="W17" s="102">
        <v>16.0</v>
      </c>
      <c r="X17" s="102">
        <v>30.0</v>
      </c>
      <c r="Y17" s="102">
        <v>0.0</v>
      </c>
      <c r="Z17" s="103">
        <v>0.0</v>
      </c>
      <c r="AA17" s="104" t="s">
        <v>147</v>
      </c>
      <c r="AB17" s="105">
        <v>367.92</v>
      </c>
      <c r="AC17" s="1"/>
      <c r="AD17" s="86">
        <f>if(Miscellaneous!E17*AWS!C$5&gt; 256, "", Miscellaneous!E17*AWS!C$5)</f>
        <v>15</v>
      </c>
      <c r="AE17" s="110"/>
      <c r="AF17" s="110"/>
      <c r="AG17" s="110"/>
    </row>
    <row r="18">
      <c r="A18" s="1"/>
      <c r="B18" s="41" t="s">
        <v>172</v>
      </c>
      <c r="C18" s="14"/>
      <c r="D18" s="1"/>
      <c r="E18" s="74" t="s">
        <v>173</v>
      </c>
      <c r="F18" s="14"/>
      <c r="G18" s="1"/>
      <c r="H18" s="71" t="s">
        <v>174</v>
      </c>
      <c r="I18" s="88">
        <v>4238.4</v>
      </c>
      <c r="J18" s="89" t="s">
        <v>175</v>
      </c>
      <c r="K18" s="90" t="str">
        <f>If(C$20 = 0,  Ceiling(($C$19 / VLOOKUp(Concat("$", Concat(J18, ".Search")) ,U$4:AB$780, 4, false) * VLOOKUp(Concat("$", Concat(J18, ".Search")) ,U$4:AB$780, 8, false) / AZ),1) * AZ, 
    If(VLOOKUp(Concat("$", Concat(J18, ".Search")) ,U$4:AB$780, 5, false) = 0 , "N/A", 
        Max( 
             Ceiling(($C$20 / (VLOOKUp(Concat("$", Concat(J18, ".Search")) ,U$4:AB$780, 5, false) * VLOOKUp(Concat("$", Concat(J18, ".Search")) ,U$4:AB$780, 6, false)* (1 - DiskOverprovisioning))) / AZ,1) * AZ , 
             Ceiling(($C$19 / VLOOKUp(Concat("$", Concat(J18, ".Search")) ,U$4:AB$780, 4, false) / AZ),1) * AZ
           ) * VLOOKUp(Concat("$", Concat(J18, ".Search")) ,U$4:AB$780, 8, false)
     )
 )</f>
        <v>N/A</v>
      </c>
      <c r="L18" s="1"/>
      <c r="M18" s="91" t="s">
        <v>176</v>
      </c>
      <c r="N18" s="92">
        <v>12.6171875</v>
      </c>
      <c r="O18" s="93">
        <v>14.221009167476115</v>
      </c>
      <c r="P18" s="94">
        <f t="shared" si="1"/>
        <v>0</v>
      </c>
      <c r="Q18" s="89" t="s">
        <v>175</v>
      </c>
      <c r="R18" s="94" t="str">
        <f t="shared" si="2"/>
        <v>N/A</v>
      </c>
      <c r="S18" s="92" t="str">
        <f t="shared" si="3"/>
        <v>N/A</v>
      </c>
      <c r="T18" s="1"/>
      <c r="U18" s="101" t="s">
        <v>163</v>
      </c>
      <c r="V18" s="91" t="s">
        <v>177</v>
      </c>
      <c r="W18" s="102">
        <v>36.0</v>
      </c>
      <c r="X18" s="102">
        <v>60.0</v>
      </c>
      <c r="Y18" s="102">
        <v>0.0</v>
      </c>
      <c r="Z18" s="103">
        <v>0.0</v>
      </c>
      <c r="AA18" s="104" t="s">
        <v>154</v>
      </c>
      <c r="AB18" s="105">
        <v>735.84</v>
      </c>
      <c r="AC18" s="1"/>
      <c r="AD18" s="86">
        <f>if(Miscellaneous!E18*AWS!C$5&gt; 256, "", Miscellaneous!E18*AWS!C$5)</f>
        <v>16</v>
      </c>
      <c r="AE18" s="110"/>
      <c r="AF18" s="110"/>
      <c r="AG18" s="110"/>
    </row>
    <row r="19">
      <c r="A19" s="1"/>
      <c r="B19" s="42" t="str">
        <f>Workload!B62</f>
        <v>Minimum Ram Required (GB)</v>
      </c>
      <c r="C19" s="44">
        <f>MinRam * Multiplier</f>
        <v>286.1439616</v>
      </c>
      <c r="D19" s="1"/>
      <c r="E19" s="42" t="s">
        <v>178</v>
      </c>
      <c r="F19" s="44">
        <f>InstanceCount*InstanceRamSize</f>
        <v>15</v>
      </c>
      <c r="G19" s="1"/>
      <c r="H19" s="45" t="s">
        <v>162</v>
      </c>
      <c r="I19" s="122">
        <v>4365.400000000001</v>
      </c>
      <c r="J19" s="121" t="s">
        <v>179</v>
      </c>
      <c r="K19" s="90" t="str">
        <f>If(C$20 = 0,  Ceiling(($C$19 / VLOOKUp(Concat("$", Concat(J19, ".Search")) ,U$4:AB$780, 4, false) * VLOOKUp(Concat("$", Concat(J19, ".Search")) ,U$4:AB$780, 8, false) / AZ),1) * AZ, 
    If(VLOOKUp(Concat("$", Concat(J19, ".Search")) ,U$4:AB$780, 5, false) = 0 , "N/A", 
        Max( 
             Ceiling(($C$20 / (VLOOKUp(Concat("$", Concat(J19, ".Search")) ,U$4:AB$780, 5, false) * VLOOKUp(Concat("$", Concat(J19, ".Search")) ,U$4:AB$780, 6, false)* (1 - DiskOverprovisioning))) / AZ,1) * AZ , 
             Ceiling(($C$19 / VLOOKUp(Concat("$", Concat(J19, ".Search")) ,U$4:AB$780, 4, false) / AZ),1) * AZ
           ) * VLOOKUp(Concat("$", Concat(J19, ".Search")) ,U$4:AB$780, 8, false)
     )
 )</f>
        <v>N/A</v>
      </c>
      <c r="L19" s="1"/>
      <c r="M19" s="91" t="s">
        <v>133</v>
      </c>
      <c r="N19" s="92">
        <v>10.625</v>
      </c>
      <c r="O19" s="93">
        <v>16.213196667476115</v>
      </c>
      <c r="P19" s="94">
        <f t="shared" si="1"/>
        <v>0</v>
      </c>
      <c r="Q19" s="89" t="s">
        <v>179</v>
      </c>
      <c r="R19" s="94" t="str">
        <f t="shared" si="2"/>
        <v>N/A</v>
      </c>
      <c r="S19" s="92" t="str">
        <f t="shared" si="3"/>
        <v>N/A</v>
      </c>
      <c r="T19" s="1"/>
      <c r="U19" s="101" t="s">
        <v>180</v>
      </c>
      <c r="V19" s="91" t="s">
        <v>181</v>
      </c>
      <c r="W19" s="102">
        <v>2.0</v>
      </c>
      <c r="X19" s="102">
        <v>4.0</v>
      </c>
      <c r="Y19" s="102">
        <v>0.0</v>
      </c>
      <c r="Z19" s="103">
        <v>0.0</v>
      </c>
      <c r="AA19" s="104" t="s">
        <v>105</v>
      </c>
      <c r="AB19" s="105">
        <v>39.42</v>
      </c>
      <c r="AC19" s="1"/>
      <c r="AD19" s="86">
        <f>if(Miscellaneous!E19*AWS!C$5&gt; 256, "", Miscellaneous!E19*AWS!C$5)</f>
        <v>17</v>
      </c>
      <c r="AE19" s="110"/>
      <c r="AF19" s="110"/>
      <c r="AG19" s="110"/>
    </row>
    <row r="20">
      <c r="A20" s="1"/>
      <c r="B20" s="42" t="str">
        <f>Workload!B63</f>
        <v>Minimum Disk Required (GB)</v>
      </c>
      <c r="C20" s="44">
        <f>MinDisk * Multiplier</f>
        <v>7679.587916</v>
      </c>
      <c r="D20" s="1"/>
      <c r="E20" s="42" t="s">
        <v>182</v>
      </c>
      <c r="F20" s="44">
        <f> InstanceCount*InstanceDiskSize * (1 - DiskOverprovisioning)</f>
        <v>13.6</v>
      </c>
      <c r="G20" s="1"/>
      <c r="H20" s="71" t="s">
        <v>176</v>
      </c>
      <c r="I20" s="88">
        <v>4437.900000000001</v>
      </c>
      <c r="J20" s="89" t="s">
        <v>117</v>
      </c>
      <c r="K20" s="90">
        <f>If(C$20 = 0,  Ceiling(($C$19 / VLOOKUp(Concat("$", Concat(J20, ".Search")) ,U$4:AB$780, 4, false) * VLOOKUp(Concat("$", Concat(J20, ".Search")) ,U$4:AB$780, 8, false) / AZ),1) * AZ, 
    If(VLOOKUp(Concat("$", Concat(J20, ".Search")) ,U$4:AB$780, 5, false) = 0 , "N/A", 
        Max( 
             Ceiling(($C$20 / (VLOOKUp(Concat("$", Concat(J20, ".Search")) ,U$4:AB$780, 5, false) * VLOOKUp(Concat("$", Concat(J20, ".Search")) ,U$4:AB$780, 6, false)* (1 - DiskOverprovisioning))) / AZ,1) * AZ , 
             Ceiling(($C$19 / VLOOKUp(Concat("$", Concat(J20, ".Search")) ,U$4:AB$780, 4, false) / AZ),1) * AZ
           ) * VLOOKUp(Concat("$", Concat(J20, ".Search")) ,U$4:AB$780, 8, false)
     )
 )</f>
        <v>3339</v>
      </c>
      <c r="L20" s="1"/>
      <c r="M20" s="91" t="s">
        <v>101</v>
      </c>
      <c r="N20" s="92">
        <v>9.066666666666666</v>
      </c>
      <c r="O20" s="93">
        <v>17.77153000080945</v>
      </c>
      <c r="P20" s="94">
        <f t="shared" si="1"/>
        <v>25.234375</v>
      </c>
      <c r="Q20" s="89" t="s">
        <v>117</v>
      </c>
      <c r="R20" s="94">
        <f t="shared" si="2"/>
        <v>25.234375</v>
      </c>
      <c r="S20" s="92">
        <f t="shared" si="3"/>
        <v>1.603821667</v>
      </c>
      <c r="T20" s="1"/>
      <c r="U20" s="101" t="s">
        <v>183</v>
      </c>
      <c r="V20" s="91" t="s">
        <v>184</v>
      </c>
      <c r="W20" s="102">
        <v>4.0</v>
      </c>
      <c r="X20" s="102">
        <v>8.0</v>
      </c>
      <c r="Y20" s="102">
        <v>0.0</v>
      </c>
      <c r="Z20" s="103">
        <v>0.0</v>
      </c>
      <c r="AA20" s="104" t="s">
        <v>105</v>
      </c>
      <c r="AB20" s="105">
        <v>78.11</v>
      </c>
      <c r="AC20" s="1"/>
      <c r="AD20" s="86">
        <f>if(Miscellaneous!E20*AWS!C$5&gt; 256, "", Miscellaneous!E20*AWS!C$5)</f>
        <v>18</v>
      </c>
      <c r="AE20" s="110"/>
      <c r="AF20" s="110"/>
      <c r="AG20" s="110"/>
    </row>
    <row r="21">
      <c r="A21" s="1"/>
      <c r="B21" s="42" t="str">
        <f>Workload!B64</f>
        <v>Disk to Ram Ratio</v>
      </c>
      <c r="C21" s="61">
        <f>DomainModelDiskToRamRatio</f>
        <v>26.83819667</v>
      </c>
      <c r="D21" s="1"/>
      <c r="E21" s="42" t="s">
        <v>60</v>
      </c>
      <c r="F21" s="61">
        <f>TotalGuaranteedDisk/TotalGuaranteedRam</f>
        <v>0.9066666667</v>
      </c>
      <c r="G21" s="1"/>
      <c r="H21" s="71" t="s">
        <v>185</v>
      </c>
      <c r="I21" s="88">
        <v>4994.700000000001</v>
      </c>
      <c r="J21" s="89" t="s">
        <v>186</v>
      </c>
      <c r="K21" s="90" t="str">
        <f>If(C$20 = 0,  Ceiling(($C$19 / VLOOKUp(Concat("$", Concat(J21, ".Search")) ,U$4:AB$780, 4, false) * VLOOKUp(Concat("$", Concat(J21, ".Search")) ,U$4:AB$780, 8, false) / AZ),1) * AZ, 
    If(VLOOKUp(Concat("$", Concat(J21, ".Search")) ,U$4:AB$780, 5, false) = 0 , "N/A", 
        Max( 
             Ceiling(($C$20 / (VLOOKUp(Concat("$", Concat(J21, ".Search")) ,U$4:AB$780, 5, false) * VLOOKUp(Concat("$", Concat(J21, ".Search")) ,U$4:AB$780, 6, false)* (1 - DiskOverprovisioning))) / AZ,1) * AZ , 
             Ceiling(($C$19 / VLOOKUp(Concat("$", Concat(J21, ".Search")) ,U$4:AB$780, 4, false) / AZ),1) * AZ
           ) * VLOOKUp(Concat("$", Concat(J21, ".Search")) ,U$4:AB$780, 8, false)
     )
 )</f>
        <v>N/A</v>
      </c>
      <c r="L21" s="1"/>
      <c r="M21" s="91" t="s">
        <v>187</v>
      </c>
      <c r="N21" s="92">
        <v>7.96875</v>
      </c>
      <c r="O21" s="93">
        <v>18.869446667476115</v>
      </c>
      <c r="P21" s="94">
        <f t="shared" si="1"/>
        <v>0</v>
      </c>
      <c r="Q21" s="89" t="s">
        <v>186</v>
      </c>
      <c r="R21" s="94" t="str">
        <f t="shared" si="2"/>
        <v>N/A</v>
      </c>
      <c r="S21" s="92" t="str">
        <f t="shared" si="3"/>
        <v>N/A</v>
      </c>
      <c r="T21" s="1"/>
      <c r="U21" s="101" t="s">
        <v>183</v>
      </c>
      <c r="V21" s="91" t="s">
        <v>188</v>
      </c>
      <c r="W21" s="102">
        <v>8.0</v>
      </c>
      <c r="X21" s="102">
        <v>16.0</v>
      </c>
      <c r="Y21" s="102">
        <v>0.0</v>
      </c>
      <c r="Z21" s="103">
        <v>0.0</v>
      </c>
      <c r="AA21" s="104" t="s">
        <v>105</v>
      </c>
      <c r="AB21" s="105">
        <v>156.22</v>
      </c>
      <c r="AC21" s="1"/>
      <c r="AD21" s="86">
        <f>if(Miscellaneous!E21*AWS!C$5&gt; 256, "", Miscellaneous!E21*AWS!C$5)</f>
        <v>19</v>
      </c>
      <c r="AE21" s="110"/>
      <c r="AF21" s="110"/>
      <c r="AG21" s="110"/>
    </row>
    <row r="22">
      <c r="A22" s="1"/>
      <c r="B22" s="74" t="str">
        <f>Workload!B92</f>
        <v>Throughput</v>
      </c>
      <c r="C22" s="14"/>
      <c r="D22" s="1"/>
      <c r="E22" s="41" t="s">
        <v>189</v>
      </c>
      <c r="F22" s="14"/>
      <c r="G22" s="1"/>
      <c r="H22" s="71" t="s">
        <v>127</v>
      </c>
      <c r="I22" s="88">
        <v>5063.28</v>
      </c>
      <c r="J22" s="89" t="s">
        <v>190</v>
      </c>
      <c r="K22" s="90" t="str">
        <f>If(C$20 = 0,  Ceiling(($C$19 / VLOOKUp(Concat("$", Concat(J22, ".Search")) ,U$4:AB$780, 4, false) * VLOOKUp(Concat("$", Concat(J22, ".Search")) ,U$4:AB$780, 8, false) / AZ),1) * AZ, 
    If(VLOOKUp(Concat("$", Concat(J22, ".Search")) ,U$4:AB$780, 5, false) = 0 , "N/A", 
        Max( 
             Ceiling(($C$20 / (VLOOKUp(Concat("$", Concat(J22, ".Search")) ,U$4:AB$780, 5, false) * VLOOKUp(Concat("$", Concat(J22, ".Search")) ,U$4:AB$780, 6, false)* (1 - DiskOverprovisioning))) / AZ,1) * AZ , 
             Ceiling(($C$19 / VLOOKUp(Concat("$", Concat(J22, ".Search")) ,U$4:AB$780, 4, false) / AZ),1) * AZ
           ) * VLOOKUp(Concat("$", Concat(J22, ".Search")) ,U$4:AB$780, 8, false)
     )
 )</f>
        <v>N/A</v>
      </c>
      <c r="L22" s="1"/>
      <c r="M22" s="91" t="s">
        <v>191</v>
      </c>
      <c r="N22" s="92">
        <v>7.96875</v>
      </c>
      <c r="O22" s="93">
        <v>18.869446667476115</v>
      </c>
      <c r="P22" s="94">
        <f t="shared" si="1"/>
        <v>0</v>
      </c>
      <c r="Q22" s="89" t="s">
        <v>190</v>
      </c>
      <c r="R22" s="94" t="str">
        <f t="shared" si="2"/>
        <v>N/A</v>
      </c>
      <c r="S22" s="92" t="str">
        <f t="shared" si="3"/>
        <v>N/A</v>
      </c>
      <c r="T22" s="1"/>
      <c r="U22" s="101" t="s">
        <v>183</v>
      </c>
      <c r="V22" s="91" t="s">
        <v>192</v>
      </c>
      <c r="W22" s="102">
        <v>16.0</v>
      </c>
      <c r="X22" s="102">
        <v>32.0</v>
      </c>
      <c r="Y22" s="102">
        <v>0.0</v>
      </c>
      <c r="Z22" s="103">
        <v>0.0</v>
      </c>
      <c r="AA22" s="104" t="s">
        <v>105</v>
      </c>
      <c r="AB22" s="105">
        <v>312.44</v>
      </c>
      <c r="AC22" s="1"/>
      <c r="AD22" s="86">
        <f>if(Miscellaneous!E22*AWS!C$5&gt; 256, "", Miscellaneous!E22*AWS!C$5)</f>
        <v>20</v>
      </c>
      <c r="AE22" s="110"/>
      <c r="AF22" s="110"/>
      <c r="AG22" s="110"/>
    </row>
    <row r="23">
      <c r="A23" s="1"/>
      <c r="B23" s="123" t="s">
        <v>193</v>
      </c>
      <c r="C23" s="44">
        <f>(PeakDiskReadThroughput + PeakDiskWriteThroughput) * Multiplier</f>
        <v>4155.273438</v>
      </c>
      <c r="D23" s="1"/>
      <c r="E23" s="123" t="s">
        <v>193</v>
      </c>
      <c r="F23" s="124">
        <f>InstanceThroughput*InstanceCount</f>
        <v>300</v>
      </c>
      <c r="G23" s="1"/>
      <c r="H23" s="71" t="s">
        <v>194</v>
      </c>
      <c r="I23" s="88">
        <v>5549.5</v>
      </c>
      <c r="J23" s="89" t="s">
        <v>195</v>
      </c>
      <c r="K23" s="90" t="str">
        <f>If(C$20 = 0,  Ceiling(($C$19 / VLOOKUp(Concat("$", Concat(J23, ".Search")) ,U$4:AB$780, 4, false) * VLOOKUp(Concat("$", Concat(J23, ".Search")) ,U$4:AB$780, 8, false) / AZ),1) * AZ, 
    If(VLOOKUp(Concat("$", Concat(J23, ".Search")) ,U$4:AB$780, 5, false) = 0 , "N/A", 
        Max( 
             Ceiling(($C$20 / (VLOOKUp(Concat("$", Concat(J23, ".Search")) ,U$4:AB$780, 5, false) * VLOOKUp(Concat("$", Concat(J23, ".Search")) ,U$4:AB$780, 6, false)* (1 - DiskOverprovisioning))) / AZ,1) * AZ , 
             Ceiling(($C$19 / VLOOKUp(Concat("$", Concat(J23, ".Search")) ,U$4:AB$780, 4, false) / AZ),1) * AZ
           ) * VLOOKUp(Concat("$", Concat(J23, ".Search")) ,U$4:AB$780, 8, false)
     )
 )</f>
        <v>N/A</v>
      </c>
      <c r="L23" s="1"/>
      <c r="M23" s="91" t="s">
        <v>196</v>
      </c>
      <c r="N23" s="92">
        <v>7.96875</v>
      </c>
      <c r="O23" s="93">
        <v>18.869446667476115</v>
      </c>
      <c r="P23" s="94">
        <f t="shared" si="1"/>
        <v>0</v>
      </c>
      <c r="Q23" s="89" t="s">
        <v>195</v>
      </c>
      <c r="R23" s="94" t="str">
        <f t="shared" si="2"/>
        <v>N/A</v>
      </c>
      <c r="S23" s="92" t="str">
        <f t="shared" si="3"/>
        <v>N/A</v>
      </c>
      <c r="T23" s="1"/>
      <c r="U23" s="101" t="s">
        <v>183</v>
      </c>
      <c r="V23" s="91" t="s">
        <v>197</v>
      </c>
      <c r="W23" s="102">
        <v>36.0</v>
      </c>
      <c r="X23" s="102">
        <v>72.0</v>
      </c>
      <c r="Y23" s="102">
        <v>0.0</v>
      </c>
      <c r="Z23" s="103">
        <v>0.0</v>
      </c>
      <c r="AA23" s="104" t="s">
        <v>198</v>
      </c>
      <c r="AB23" s="105">
        <v>703.72</v>
      </c>
      <c r="AC23" s="1"/>
      <c r="AD23" s="86">
        <f>if(Miscellaneous!E23*AWS!C$5&gt; 256, "", Miscellaneous!E23*AWS!C$5)</f>
        <v>21</v>
      </c>
      <c r="AE23" s="110"/>
      <c r="AF23" s="110"/>
      <c r="AG23" s="110"/>
    </row>
    <row r="24">
      <c r="A24" s="1"/>
      <c r="B24" s="45" t="s">
        <v>199</v>
      </c>
      <c r="C24" s="44">
        <f>(PeakReadIOPS + PeakWriteIOPS*RF_1)*Multiplier</f>
        <v>1196.608</v>
      </c>
      <c r="D24" s="1"/>
      <c r="E24" s="125" t="s">
        <v>200</v>
      </c>
      <c r="F24" s="124">
        <f>InstanceIOPS*InstanceCount</f>
        <v>64</v>
      </c>
      <c r="G24" s="1"/>
      <c r="H24" s="71" t="s">
        <v>201</v>
      </c>
      <c r="I24" s="88">
        <v>5655.5</v>
      </c>
      <c r="J24" s="89" t="s">
        <v>202</v>
      </c>
      <c r="K24" s="90" t="str">
        <f>If(C$20 = 0,  Ceiling(($C$19 / VLOOKUp(Concat("$", Concat(J24, ".Search")) ,U$4:AB$780, 4, false) * VLOOKUp(Concat("$", Concat(J24, ".Search")) ,U$4:AB$780, 8, false) / AZ),1) * AZ, 
    If(VLOOKUp(Concat("$", Concat(J24, ".Search")) ,U$4:AB$780, 5, false) = 0 , "N/A", 
        Max( 
             Ceiling(($C$20 / (VLOOKUp(Concat("$", Concat(J24, ".Search")) ,U$4:AB$780, 5, false) * VLOOKUp(Concat("$", Concat(J24, ".Search")) ,U$4:AB$780, 6, false)* (1 - DiskOverprovisioning))) / AZ,1) * AZ , 
             Ceiling(($C$19 / VLOOKUp(Concat("$", Concat(J24, ".Search")) ,U$4:AB$780, 4, false) / AZ),1) * AZ
           ) * VLOOKUp(Concat("$", Concat(J24, ".Search")) ,U$4:AB$780, 8, false)
     )
 )</f>
        <v>N/A</v>
      </c>
      <c r="L24" s="1"/>
      <c r="M24" s="91" t="s">
        <v>203</v>
      </c>
      <c r="N24" s="92">
        <v>7.96875</v>
      </c>
      <c r="O24" s="93">
        <v>18.869446667476115</v>
      </c>
      <c r="P24" s="94">
        <f t="shared" si="1"/>
        <v>0</v>
      </c>
      <c r="Q24" s="89" t="s">
        <v>202</v>
      </c>
      <c r="R24" s="94" t="str">
        <f t="shared" si="2"/>
        <v>N/A</v>
      </c>
      <c r="S24" s="92" t="str">
        <f t="shared" si="3"/>
        <v>N/A</v>
      </c>
      <c r="T24" s="1"/>
      <c r="U24" s="101" t="s">
        <v>183</v>
      </c>
      <c r="V24" s="91" t="s">
        <v>204</v>
      </c>
      <c r="W24" s="102">
        <v>48.0</v>
      </c>
      <c r="X24" s="102">
        <v>96.0</v>
      </c>
      <c r="Y24" s="102">
        <v>0.0</v>
      </c>
      <c r="Z24" s="103">
        <v>0.0</v>
      </c>
      <c r="AA24" s="104" t="s">
        <v>198</v>
      </c>
      <c r="AB24" s="105">
        <v>938.05</v>
      </c>
      <c r="AC24" s="1"/>
      <c r="AD24" s="86">
        <f>if(Miscellaneous!E24*AWS!C$5&gt; 256, "", Miscellaneous!E24*AWS!C$5)</f>
        <v>22</v>
      </c>
      <c r="AE24" s="110"/>
      <c r="AF24" s="110"/>
      <c r="AG24" s="110"/>
    </row>
    <row r="25">
      <c r="A25" s="1"/>
      <c r="B25" s="41" t="s">
        <v>205</v>
      </c>
      <c r="C25" s="14"/>
      <c r="D25" s="1"/>
      <c r="E25" s="41" t="s">
        <v>206</v>
      </c>
      <c r="F25" s="14"/>
      <c r="G25" s="1"/>
      <c r="H25" s="71" t="s">
        <v>165</v>
      </c>
      <c r="I25" s="88">
        <v>5854.299999999999</v>
      </c>
      <c r="J25" s="89" t="s">
        <v>123</v>
      </c>
      <c r="K25" s="90">
        <f>If(C$20 = 0,  Ceiling(($C$19 / VLOOKUp(Concat("$", Concat(J25, ".Search")) ,U$4:AB$780, 4, false) * VLOOKUp(Concat("$", Concat(J25, ".Search")) ,U$4:AB$780, 8, false) / AZ),1) * AZ, 
    If(VLOOKUp(Concat("$", Concat(J25, ".Search")) ,U$4:AB$780, 5, false) = 0 , "N/A", 
        Max( 
             Ceiling(($C$20 / (VLOOKUp(Concat("$", Concat(J25, ".Search")) ,U$4:AB$780, 5, false) * VLOOKUp(Concat("$", Concat(J25, ".Search")) ,U$4:AB$780, 6, false)* (1 - DiskOverprovisioning))) / AZ,1) * AZ , 
             Ceiling(($C$19 / VLOOKUp(Concat("$", Concat(J25, ".Search")) ,U$4:AB$780, 4, false) / AZ),1) * AZ
           ) * VLOOKUp(Concat("$", Concat(J25, ".Search")) ,U$4:AB$780, 8, false)
     )
 )</f>
        <v>3770.6</v>
      </c>
      <c r="L25" s="1"/>
      <c r="M25" s="91" t="s">
        <v>174</v>
      </c>
      <c r="N25" s="92">
        <v>6.30859375</v>
      </c>
      <c r="O25" s="93">
        <v>20.529602917476115</v>
      </c>
      <c r="P25" s="94">
        <f t="shared" si="1"/>
        <v>25.234375</v>
      </c>
      <c r="Q25" s="89" t="s">
        <v>123</v>
      </c>
      <c r="R25" s="94">
        <f t="shared" si="2"/>
        <v>25.234375</v>
      </c>
      <c r="S25" s="92">
        <f t="shared" si="3"/>
        <v>1.603821667</v>
      </c>
      <c r="T25" s="1"/>
      <c r="U25" s="101" t="s">
        <v>183</v>
      </c>
      <c r="V25" s="91" t="s">
        <v>207</v>
      </c>
      <c r="W25" s="102">
        <v>72.0</v>
      </c>
      <c r="X25" s="102">
        <v>144.0</v>
      </c>
      <c r="Y25" s="102">
        <v>0.0</v>
      </c>
      <c r="Z25" s="103">
        <v>0.0</v>
      </c>
      <c r="AA25" s="104" t="s">
        <v>208</v>
      </c>
      <c r="AB25" s="105">
        <v>1407.44</v>
      </c>
      <c r="AC25" s="1"/>
      <c r="AD25" s="86">
        <f>if(Miscellaneous!E25*AWS!C$5&gt; 256, "", Miscellaneous!E25*AWS!C$5)</f>
        <v>23</v>
      </c>
      <c r="AE25" s="110"/>
      <c r="AF25" s="110"/>
      <c r="AG25" s="110"/>
    </row>
    <row r="26">
      <c r="A26" s="1"/>
      <c r="B26" s="51" t="s">
        <v>61</v>
      </c>
      <c r="C26" s="126">
        <f>PageCacheSize </f>
        <v>0</v>
      </c>
      <c r="D26" s="1"/>
      <c r="E26" s="42" t="s">
        <v>209</v>
      </c>
      <c r="F26" s="44">
        <f>InstanceCount*InstanceCpuCount</f>
        <v>4</v>
      </c>
      <c r="G26" s="1"/>
      <c r="H26" s="71" t="s">
        <v>210</v>
      </c>
      <c r="I26" s="88">
        <v>6010.1</v>
      </c>
      <c r="J26" s="89" t="s">
        <v>187</v>
      </c>
      <c r="K26" s="90">
        <f>If(C$20 = 0,  Ceiling(($C$19 / VLOOKUp(Concat("$", Concat(J26, ".Search")) ,U$4:AB$780, 4, false) * VLOOKUp(Concat("$", Concat(J26, ".Search")) ,U$4:AB$780, 8, false) / AZ),1) * AZ, 
    If(VLOOKUp(Concat("$", Concat(J26, ".Search")) ,U$4:AB$780, 5, false) = 0 , "N/A", 
        Max( 
             Ceiling(($C$20 / (VLOOKUp(Concat("$", Concat(J26, ".Search")) ,U$4:AB$780, 5, false) * VLOOKUp(Concat("$", Concat(J26, ".Search")) ,U$4:AB$780, 6, false)* (1 - DiskOverprovisioning))) / AZ,1) * AZ , 
             Ceiling(($C$19 / VLOOKUp(Concat("$", Concat(J26, ".Search")) ,U$4:AB$780, 4, false) / AZ),1) * AZ
           ) * VLOOKUp(Concat("$", Concat(J26, ".Search")) ,U$4:AB$780, 8, false)
     )
 )</f>
        <v>6379.68</v>
      </c>
      <c r="L26" s="1"/>
      <c r="M26" s="91" t="s">
        <v>194</v>
      </c>
      <c r="N26" s="92">
        <v>6.30859375</v>
      </c>
      <c r="O26" s="93">
        <v>20.529602917476115</v>
      </c>
      <c r="P26" s="94">
        <f t="shared" si="1"/>
        <v>7.96875</v>
      </c>
      <c r="Q26" s="89" t="s">
        <v>187</v>
      </c>
      <c r="R26" s="94">
        <f t="shared" si="2"/>
        <v>7.96875</v>
      </c>
      <c r="S26" s="92">
        <f t="shared" si="3"/>
        <v>18.86944667</v>
      </c>
      <c r="T26" s="1"/>
      <c r="U26" s="101" t="s">
        <v>183</v>
      </c>
      <c r="V26" s="91" t="s">
        <v>211</v>
      </c>
      <c r="W26" s="102">
        <v>96.0</v>
      </c>
      <c r="X26" s="102">
        <v>192.0</v>
      </c>
      <c r="Y26" s="102">
        <v>0.0</v>
      </c>
      <c r="Z26" s="103">
        <v>0.0</v>
      </c>
      <c r="AA26" s="104" t="s">
        <v>208</v>
      </c>
      <c r="AB26" s="105">
        <v>1876.1</v>
      </c>
      <c r="AC26" s="1"/>
      <c r="AD26" s="86">
        <f>if(Miscellaneous!E26*AWS!C$5&gt; 256, "", Miscellaneous!E26*AWS!C$5)</f>
        <v>25</v>
      </c>
      <c r="AE26" s="110"/>
      <c r="AF26" s="110"/>
      <c r="AG26" s="110"/>
    </row>
    <row r="27">
      <c r="A27" s="1"/>
      <c r="B27" s="1"/>
      <c r="C27" s="1"/>
      <c r="D27" s="1"/>
      <c r="E27" s="117" t="s">
        <v>107</v>
      </c>
      <c r="F27" s="126">
        <f>InstanceDiskCount*InstanceCount</f>
        <v>0.2</v>
      </c>
      <c r="G27" s="1"/>
      <c r="H27" s="71" t="s">
        <v>191</v>
      </c>
      <c r="I27" s="88">
        <v>6061.92</v>
      </c>
      <c r="J27" s="89" t="s">
        <v>212</v>
      </c>
      <c r="K27" s="90">
        <f>If(C$20 = 0,  Ceiling(($C$19 / VLOOKUp(Concat("$", Concat(J27, ".Search")) ,U$4:AB$780, 4, false) * VLOOKUp(Concat("$", Concat(J27, ".Search")) ,U$4:AB$780, 8, false) / AZ),1) * AZ, 
    If(VLOOKUp(Concat("$", Concat(J27, ".Search")) ,U$4:AB$780, 5, false) = 0 , "N/A", 
        Max( 
             Ceiling(($C$20 / (VLOOKUp(Concat("$", Concat(J27, ".Search")) ,U$4:AB$780, 5, false) * VLOOKUp(Concat("$", Concat(J27, ".Search")) ,U$4:AB$780, 6, false)* (1 - DiskOverprovisioning))) / AZ,1) * AZ , 
             Ceiling(($C$19 / VLOOKUp(Concat("$", Concat(J27, ".Search")) ,U$4:AB$780, 4, false) / AZ),1) * AZ
           ) * VLOOKUp(Concat("$", Concat(J27, ".Search")) ,U$4:AB$780, 8, false)
     )
 )</f>
        <v>22716.87</v>
      </c>
      <c r="L27" s="1"/>
      <c r="M27" s="91" t="s">
        <v>213</v>
      </c>
      <c r="N27" s="92">
        <v>6.30859375</v>
      </c>
      <c r="O27" s="93">
        <v>20.529602917476115</v>
      </c>
      <c r="P27" s="94">
        <f t="shared" si="1"/>
        <v>2.98828125</v>
      </c>
      <c r="Q27" s="89" t="s">
        <v>212</v>
      </c>
      <c r="R27" s="94">
        <f t="shared" si="2"/>
        <v>2.98828125</v>
      </c>
      <c r="S27" s="92">
        <f t="shared" si="3"/>
        <v>23.84991542</v>
      </c>
      <c r="T27" s="1"/>
      <c r="U27" s="101" t="s">
        <v>214</v>
      </c>
      <c r="V27" s="91" t="s">
        <v>215</v>
      </c>
      <c r="W27" s="102">
        <v>2.0</v>
      </c>
      <c r="X27" s="102">
        <v>4.0</v>
      </c>
      <c r="Y27" s="102">
        <v>0.0</v>
      </c>
      <c r="Z27" s="103">
        <v>0.0</v>
      </c>
      <c r="AA27" s="104" t="s">
        <v>105</v>
      </c>
      <c r="AB27" s="105">
        <v>35.77</v>
      </c>
      <c r="AC27" s="1"/>
      <c r="AD27" s="86">
        <f>if(Miscellaneous!E27*AWS!C$5&gt; 256, "", Miscellaneous!E27*AWS!C$5)</f>
        <v>26</v>
      </c>
      <c r="AE27" s="110"/>
      <c r="AF27" s="110"/>
      <c r="AG27" s="110"/>
    </row>
    <row r="28">
      <c r="A28" s="1"/>
      <c r="B28" s="54" t="s">
        <v>216</v>
      </c>
      <c r="C28" s="55"/>
      <c r="D28" s="1"/>
      <c r="G28" s="1"/>
      <c r="H28" s="71" t="s">
        <v>187</v>
      </c>
      <c r="I28" s="88">
        <v>6379.68</v>
      </c>
      <c r="J28" s="89" t="s">
        <v>151</v>
      </c>
      <c r="K28" s="90">
        <f>If(C$20 = 0,  Ceiling(($C$19 / VLOOKUp(Concat("$", Concat(J28, ".Search")) ,U$4:AB$780, 4, false) * VLOOKUp(Concat("$", Concat(J28, ".Search")) ,U$4:AB$780, 8, false) / AZ),1) * AZ, 
    If(VLOOKUp(Concat("$", Concat(J28, ".Search")) ,U$4:AB$780, 5, false) = 0 , "N/A", 
        Max( 
             Ceiling(($C$20 / (VLOOKUp(Concat("$", Concat(J28, ".Search")) ,U$4:AB$780, 5, false) * VLOOKUp(Concat("$", Concat(J28, ".Search")) ,U$4:AB$780, 6, false)* (1 - DiskOverprovisioning))) / AZ,1) * AZ , 
             Ceiling(($C$19 / VLOOKUp(Concat("$", Concat(J28, ".Search")) ,U$4:AB$780, 4, false) / AZ),1) * AZ
           ) * VLOOKUp(Concat("$", Concat(J28, ".Search")) ,U$4:AB$780, 8, false)
     )
 )</f>
        <v>7825.65</v>
      </c>
      <c r="L28" s="1"/>
      <c r="M28" s="91" t="s">
        <v>185</v>
      </c>
      <c r="N28" s="92">
        <v>6.30859375</v>
      </c>
      <c r="O28" s="93">
        <v>20.529602917476115</v>
      </c>
      <c r="P28" s="94">
        <f t="shared" si="1"/>
        <v>16.82291667</v>
      </c>
      <c r="Q28" s="89" t="s">
        <v>151</v>
      </c>
      <c r="R28" s="94">
        <f t="shared" si="2"/>
        <v>16.82291667</v>
      </c>
      <c r="S28" s="92">
        <f t="shared" si="3"/>
        <v>10.01528</v>
      </c>
      <c r="T28" s="1"/>
      <c r="U28" s="101" t="s">
        <v>217</v>
      </c>
      <c r="V28" s="91" t="s">
        <v>218</v>
      </c>
      <c r="W28" s="102">
        <v>4.0</v>
      </c>
      <c r="X28" s="102">
        <v>8.0</v>
      </c>
      <c r="Y28" s="102">
        <v>0.0</v>
      </c>
      <c r="Z28" s="103">
        <v>0.0</v>
      </c>
      <c r="AA28" s="104" t="s">
        <v>105</v>
      </c>
      <c r="AB28" s="105">
        <v>70.81</v>
      </c>
      <c r="AC28" s="1"/>
      <c r="AD28" s="86">
        <f>if(Miscellaneous!E28*AWS!C$5&gt; 256, "", Miscellaneous!E28*AWS!C$5)</f>
        <v>27</v>
      </c>
      <c r="AE28" s="110"/>
      <c r="AF28" s="110"/>
      <c r="AG28" s="110"/>
    </row>
    <row r="29">
      <c r="A29" s="1"/>
      <c r="B29" s="41" t="s">
        <v>219</v>
      </c>
      <c r="C29" s="14"/>
      <c r="D29" s="1"/>
      <c r="E29" s="1"/>
      <c r="F29" s="1"/>
      <c r="G29" s="1"/>
      <c r="H29" s="71" t="s">
        <v>196</v>
      </c>
      <c r="I29" s="88">
        <v>6657.6</v>
      </c>
      <c r="J29" s="89" t="s">
        <v>220</v>
      </c>
      <c r="K29" s="90" t="str">
        <f>If(C$20 = 0,  Ceiling(($C$19 / VLOOKUp(Concat("$", Concat(J29, ".Search")) ,U$4:AB$780, 4, false) * VLOOKUp(Concat("$", Concat(J29, ".Search")) ,U$4:AB$780, 8, false) / AZ),1) * AZ, 
    If(VLOOKUp(Concat("$", Concat(J29, ".Search")) ,U$4:AB$780, 5, false) = 0 , "N/A", 
        Max( 
             Ceiling(($C$20 / (VLOOKUp(Concat("$", Concat(J29, ".Search")) ,U$4:AB$780, 5, false) * VLOOKUp(Concat("$", Concat(J29, ".Search")) ,U$4:AB$780, 6, false)* (1 - DiskOverprovisioning))) / AZ,1) * AZ , 
             Ceiling(($C$19 / VLOOKUp(Concat("$", Concat(J29, ".Search")) ,U$4:AB$780, 4, false) / AZ),1) * AZ
           ) * VLOOKUp(Concat("$", Concat(J29, ".Search")) ,U$4:AB$780, 8, false)
     )
 )</f>
        <v>N/A</v>
      </c>
      <c r="L29" s="1"/>
      <c r="M29" s="91" t="s">
        <v>201</v>
      </c>
      <c r="N29" s="92">
        <v>6.30859375</v>
      </c>
      <c r="O29" s="93">
        <v>20.529602917476115</v>
      </c>
      <c r="P29" s="94">
        <f t="shared" si="1"/>
        <v>0</v>
      </c>
      <c r="Q29" s="89" t="s">
        <v>220</v>
      </c>
      <c r="R29" s="94" t="str">
        <f t="shared" si="2"/>
        <v>N/A</v>
      </c>
      <c r="S29" s="92" t="str">
        <f t="shared" si="3"/>
        <v>N/A</v>
      </c>
      <c r="T29" s="1"/>
      <c r="U29" s="101" t="s">
        <v>217</v>
      </c>
      <c r="V29" s="91" t="s">
        <v>221</v>
      </c>
      <c r="W29" s="102">
        <v>8.0</v>
      </c>
      <c r="X29" s="102">
        <v>16.0</v>
      </c>
      <c r="Y29" s="102">
        <v>0.0</v>
      </c>
      <c r="Z29" s="103">
        <v>0.0</v>
      </c>
      <c r="AA29" s="104" t="s">
        <v>105</v>
      </c>
      <c r="AB29" s="105">
        <v>141.62</v>
      </c>
      <c r="AC29" s="1"/>
      <c r="AD29" s="86">
        <f>if(Miscellaneous!E29*AWS!C$5&gt; 256, "", Miscellaneous!E29*AWS!C$5)</f>
        <v>28</v>
      </c>
      <c r="AE29" s="110"/>
      <c r="AF29" s="110"/>
      <c r="AG29" s="110"/>
    </row>
    <row r="30">
      <c r="A30" s="1"/>
      <c r="B30" s="45" t="s">
        <v>222</v>
      </c>
      <c r="C30" s="44">
        <f>(If(AZ=1, 0, ((AZ-1)/AZ) * 
(AvgRecordSize1*AvgObjWPS1*SecondsInAYear + 
AvgRecordSize2*AvgObjWPS2*SecondsInAYear + 
AvgRecordSize3*AvgObjWPS3*SecondsInAYear + 
AvgRecordSize4*AvgObjWPS4*SecondsInAYear + 
AvgRecordSize5*AvgObjWPS5*SecondsInAYear) ) /GB)</f>
        <v>0</v>
      </c>
      <c r="D30" s="1"/>
      <c r="E30" s="1"/>
      <c r="F30" s="1"/>
      <c r="G30" s="1"/>
      <c r="H30" s="71" t="s">
        <v>213</v>
      </c>
      <c r="I30" s="88">
        <v>7188.8</v>
      </c>
      <c r="J30" s="89" t="s">
        <v>223</v>
      </c>
      <c r="K30" s="90">
        <f>If(C$20 = 0,  Ceiling(($C$19 / VLOOKUp(Concat("$", Concat(J30, ".Search")) ,U$4:AB$780, 4, false) * VLOOKUp(Concat("$", Concat(J30, ".Search")) ,U$4:AB$780, 8, false) / AZ),1) * AZ, 
    If(VLOOKUp(Concat("$", Concat(J30, ".Search")) ,U$4:AB$780, 5, false) = 0 , "N/A", 
        Max( 
             Ceiling(($C$20 / (VLOOKUp(Concat("$", Concat(J30, ".Search")) ,U$4:AB$780, 5, false) * VLOOKUp(Concat("$", Concat(J30, ".Search")) ,U$4:AB$780, 6, false)* (1 - DiskOverprovisioning))) / AZ,1) * AZ , 
             Ceiling(($C$19 / VLOOKUp(Concat("$", Concat(J30, ".Search")) ,U$4:AB$780, 4, false) / AZ),1) * AZ
           ) * VLOOKUp(Concat("$", Concat(J30, ".Search")) ,U$4:AB$780, 8, false)
     )
 )</f>
        <v>9573</v>
      </c>
      <c r="L30" s="1"/>
      <c r="M30" s="91" t="s">
        <v>223</v>
      </c>
      <c r="N30" s="92">
        <v>6.2421875</v>
      </c>
      <c r="O30" s="93">
        <v>20.596009167476115</v>
      </c>
      <c r="P30" s="94">
        <f t="shared" si="1"/>
        <v>6.2421875</v>
      </c>
      <c r="Q30" s="121" t="s">
        <v>223</v>
      </c>
      <c r="R30" s="94">
        <f t="shared" si="2"/>
        <v>6.2421875</v>
      </c>
      <c r="S30" s="92">
        <f t="shared" si="3"/>
        <v>20.59600917</v>
      </c>
      <c r="T30" s="1"/>
      <c r="U30" s="101" t="s">
        <v>217</v>
      </c>
      <c r="V30" s="91" t="s">
        <v>224</v>
      </c>
      <c r="W30" s="102">
        <v>16.0</v>
      </c>
      <c r="X30" s="102">
        <v>32.0</v>
      </c>
      <c r="Y30" s="102">
        <v>0.0</v>
      </c>
      <c r="Z30" s="103">
        <v>0.0</v>
      </c>
      <c r="AA30" s="104" t="s">
        <v>105</v>
      </c>
      <c r="AB30" s="105">
        <v>283.24</v>
      </c>
      <c r="AC30" s="1"/>
      <c r="AD30" s="86">
        <f>if(Miscellaneous!E30*AWS!C$5&gt; 256, "", Miscellaneous!E30*AWS!C$5)</f>
        <v>29</v>
      </c>
      <c r="AE30" s="110"/>
      <c r="AF30" s="110"/>
      <c r="AG30" s="110"/>
    </row>
    <row r="31">
      <c r="A31" s="1"/>
      <c r="B31" s="45" t="s">
        <v>225</v>
      </c>
      <c r="C31" s="44">
        <f>(IF(AZ=1, 0, (RF_1-1) * 
(AvgRecordSize1*AvgObjWPS1*SecondsInAYear + 
 AvgRecordSize2*AvgObjWPS2*SecondsInAYear + 
 AvgRecordSize3*AvgObjWPS3*SecondsInAYear + 
 AvgRecordSize4*AvgObjWPS4*SecondsInAYear + 
 AvgRecordSize5*AvgObjWPS5*SecondsInAYear))/GB)</f>
        <v>0</v>
      </c>
      <c r="D31" s="1"/>
      <c r="E31" s="1"/>
      <c r="F31" s="1"/>
      <c r="G31" s="1"/>
      <c r="H31" s="71" t="s">
        <v>226</v>
      </c>
      <c r="I31" s="88">
        <v>7708.8</v>
      </c>
      <c r="J31" s="89" t="s">
        <v>227</v>
      </c>
      <c r="K31" s="90">
        <f>If(C$20 = 0,  Ceiling(($C$19 / VLOOKUp(Concat("$", Concat(J31, ".Search")) ,U$4:AB$780, 4, false) * VLOOKUp(Concat("$", Concat(J31, ".Search")) ,U$4:AB$780, 8, false) / AZ),1) * AZ, 
    If(VLOOKUp(Concat("$", Concat(J31, ".Search")) ,U$4:AB$780, 5, false) = 0 , "N/A", 
        Max( 
             Ceiling(($C$20 / (VLOOKUp(Concat("$", Concat(J31, ".Search")) ,U$4:AB$780, 5, false) * VLOOKUp(Concat("$", Concat(J31, ".Search")) ,U$4:AB$780, 6, false)* (1 - DiskOverprovisioning))) / AZ,1) * AZ , 
             Ceiling(($C$19 / VLOOKUp(Concat("$", Concat(J31, ".Search")) ,U$4:AB$780, 4, false) / AZ),1) * AZ
           ) * VLOOKUp(Concat("$", Concat(J31, ".Search")) ,U$4:AB$780, 8, false)
     )
 )</f>
        <v>22909.48</v>
      </c>
      <c r="L31" s="1"/>
      <c r="M31" s="91" t="s">
        <v>228</v>
      </c>
      <c r="N31" s="92">
        <v>4.533333333333333</v>
      </c>
      <c r="O31" s="93">
        <v>22.30486333414278</v>
      </c>
      <c r="P31" s="94">
        <f t="shared" si="1"/>
        <v>2.98828125</v>
      </c>
      <c r="Q31" s="89" t="s">
        <v>227</v>
      </c>
      <c r="R31" s="94">
        <f t="shared" si="2"/>
        <v>2.98828125</v>
      </c>
      <c r="S31" s="92">
        <f t="shared" si="3"/>
        <v>23.84991542</v>
      </c>
      <c r="T31" s="1"/>
      <c r="U31" s="101" t="s">
        <v>217</v>
      </c>
      <c r="V31" s="91" t="s">
        <v>229</v>
      </c>
      <c r="W31" s="102">
        <v>32.0</v>
      </c>
      <c r="X31" s="102">
        <v>64.0</v>
      </c>
      <c r="Y31" s="102">
        <v>0.0</v>
      </c>
      <c r="Z31" s="103">
        <v>0.0</v>
      </c>
      <c r="AA31" s="104" t="s">
        <v>154</v>
      </c>
      <c r="AB31" s="105">
        <v>566.48</v>
      </c>
      <c r="AC31" s="1"/>
      <c r="AD31" s="86">
        <f>if(Miscellaneous!E31*AWS!C$5&gt; 256, "", Miscellaneous!E31*AWS!C$5)</f>
        <v>30</v>
      </c>
      <c r="AE31" s="110"/>
      <c r="AF31" s="110"/>
      <c r="AG31" s="110"/>
    </row>
    <row r="32">
      <c r="A32" s="1"/>
      <c r="B32" s="45" t="s">
        <v>230</v>
      </c>
      <c r="C32" s="44">
        <f>IF(AZ=1, 0, If(ReadFromNearAZ, IF(RF_1 &gt;= AZ, 0, ((AZ-RF_1)/AZ)), (AZ-1)/AZ)) *
(AvgRecordSize1*AvgObjRPS1*(1-NotFoundRate1)*SecondsInAYear + 
 AvgRecordSize2*AvgObjRPS2*(1-NotFoundRate2)*SecondsInAYear + 
 AvgRecordSize3*AvgObjRPS3*(1-NotFoundRate3)*SecondsInAYear + 
 AvgRecordSize4*AvgObjRPS4*(1-NotFoundRate4)*SecondsInAYear + 
 AvgRecordSize5*AvgObjRPS5*(1-NotFoundRate5)*SecondsInAYear 
)/GB</f>
        <v>0</v>
      </c>
      <c r="D32" s="1"/>
      <c r="E32" s="1"/>
      <c r="F32" s="1"/>
      <c r="G32" s="1"/>
      <c r="H32" s="71" t="s">
        <v>151</v>
      </c>
      <c r="I32" s="88">
        <v>7825.650000000001</v>
      </c>
      <c r="J32" s="89" t="s">
        <v>231</v>
      </c>
      <c r="K32" s="90">
        <f>If(C$20 = 0,  Ceiling(($C$19 / VLOOKUp(Concat("$", Concat(J32, ".Search")) ,U$4:AB$780, 4, false) * VLOOKUp(Concat("$", Concat(J32, ".Search")) ,U$4:AB$780, 8, false) / AZ),1) * AZ, 
    If(VLOOKUp(Concat("$", Concat(J32, ".Search")) ,U$4:AB$780, 5, false) = 0 , "N/A", 
        Max( 
             Ceiling(($C$20 / (VLOOKUp(Concat("$", Concat(J32, ".Search")) ,U$4:AB$780, 5, false) * VLOOKUp(Concat("$", Concat(J32, ".Search")) ,U$4:AB$780, 6, false)* (1 - DiskOverprovisioning))) / AZ,1) * AZ , 
             Ceiling(($C$19 / VLOOKUp(Concat("$", Concat(J32, ".Search")) ,U$4:AB$780, 4, false) / AZ),1) * AZ
           ) * VLOOKUp(Concat("$", Concat(J32, ".Search")) ,U$4:AB$780, 8, false)
     )
 )</f>
        <v>11703.52</v>
      </c>
      <c r="L32" s="1"/>
      <c r="M32" s="91" t="s">
        <v>231</v>
      </c>
      <c r="N32" s="92">
        <v>3.984375</v>
      </c>
      <c r="O32" s="93">
        <v>22.853821667476115</v>
      </c>
      <c r="P32" s="94">
        <f t="shared" si="1"/>
        <v>3.984375</v>
      </c>
      <c r="Q32" s="89" t="s">
        <v>231</v>
      </c>
      <c r="R32" s="94">
        <f t="shared" si="2"/>
        <v>3.984375</v>
      </c>
      <c r="S32" s="92">
        <f t="shared" si="3"/>
        <v>22.85382167</v>
      </c>
      <c r="T32" s="1"/>
      <c r="U32" s="101" t="s">
        <v>217</v>
      </c>
      <c r="V32" s="91" t="s">
        <v>232</v>
      </c>
      <c r="W32" s="102">
        <v>48.0</v>
      </c>
      <c r="X32" s="102">
        <v>96.0</v>
      </c>
      <c r="Y32" s="102">
        <v>0.0</v>
      </c>
      <c r="Z32" s="103">
        <v>0.0</v>
      </c>
      <c r="AA32" s="104" t="s">
        <v>198</v>
      </c>
      <c r="AB32" s="105">
        <v>849.72</v>
      </c>
      <c r="AC32" s="1"/>
      <c r="AD32" s="86">
        <f>if(Miscellaneous!E32*AWS!C$5&gt; 256, "", Miscellaneous!E32*AWS!C$5)</f>
        <v>31</v>
      </c>
      <c r="AE32" s="110"/>
      <c r="AF32" s="110"/>
      <c r="AG32" s="110"/>
    </row>
    <row r="33">
      <c r="A33" s="1"/>
      <c r="B33" s="41" t="s">
        <v>233</v>
      </c>
      <c r="C33" s="14"/>
      <c r="D33" s="1"/>
      <c r="E33" s="1"/>
      <c r="F33" s="1"/>
      <c r="G33" s="1"/>
      <c r="H33" s="71" t="s">
        <v>203</v>
      </c>
      <c r="I33" s="88">
        <v>8000.8</v>
      </c>
      <c r="J33" s="89" t="s">
        <v>234</v>
      </c>
      <c r="K33" s="90" t="str">
        <f>If(C$20 = 0,  Ceiling(($C$19 / VLOOKUp(Concat("$", Concat(J33, ".Search")) ,U$4:AB$780, 4, false) * VLOOKUp(Concat("$", Concat(J33, ".Search")) ,U$4:AB$780, 8, false) / AZ),1) * AZ, 
    If(VLOOKUp(Concat("$", Concat(J33, ".Search")) ,U$4:AB$780, 5, false) = 0 , "N/A", 
        Max( 
             Ceiling(($C$20 / (VLOOKUp(Concat("$", Concat(J33, ".Search")) ,U$4:AB$780, 5, false) * VLOOKUp(Concat("$", Concat(J33, ".Search")) ,U$4:AB$780, 6, false)* (1 - DiskOverprovisioning))) / AZ,1) * AZ , 
             Ceiling(($C$19 / VLOOKUp(Concat("$", Concat(J33, ".Search")) ,U$4:AB$780, 4, false) / AZ),1) * AZ
           ) * VLOOKUp(Concat("$", Concat(J33, ".Search")) ,U$4:AB$780, 8, false)
     )
 )</f>
        <v>N/A</v>
      </c>
      <c r="L33" s="1"/>
      <c r="M33" s="127" t="s">
        <v>226</v>
      </c>
      <c r="N33" s="128">
        <v>3.984375</v>
      </c>
      <c r="O33" s="129">
        <v>22.853821667476115</v>
      </c>
      <c r="P33" s="94">
        <f t="shared" si="1"/>
        <v>0</v>
      </c>
      <c r="Q33" s="121" t="s">
        <v>234</v>
      </c>
      <c r="R33" s="94" t="str">
        <f t="shared" si="2"/>
        <v>N/A</v>
      </c>
      <c r="S33" s="92" t="str">
        <f t="shared" si="3"/>
        <v>N/A</v>
      </c>
      <c r="T33" s="1"/>
      <c r="U33" s="101" t="s">
        <v>217</v>
      </c>
      <c r="V33" s="91" t="s">
        <v>235</v>
      </c>
      <c r="W33" s="102">
        <v>64.0</v>
      </c>
      <c r="X33" s="102">
        <v>128.0</v>
      </c>
      <c r="Y33" s="102">
        <v>0.0</v>
      </c>
      <c r="Z33" s="103">
        <v>0.0</v>
      </c>
      <c r="AA33" s="104" t="s">
        <v>236</v>
      </c>
      <c r="AB33" s="105">
        <v>1132.96</v>
      </c>
      <c r="AC33" s="1"/>
      <c r="AD33" s="86">
        <f>if(Miscellaneous!E33*AWS!C$5&gt; 256, "", Miscellaneous!E33*AWS!C$5)</f>
        <v>32</v>
      </c>
      <c r="AE33" s="110"/>
      <c r="AF33" s="110"/>
      <c r="AG33" s="110"/>
    </row>
    <row r="34">
      <c r="A34" s="1"/>
      <c r="B34" s="45" t="s">
        <v>237</v>
      </c>
      <c r="C34" s="130">
        <v>0.01</v>
      </c>
      <c r="D34" s="1"/>
      <c r="E34" s="1"/>
      <c r="F34" s="1"/>
      <c r="G34" s="1"/>
      <c r="H34" s="71" t="s">
        <v>238</v>
      </c>
      <c r="I34" s="88">
        <v>8479.68</v>
      </c>
      <c r="J34" s="89" t="s">
        <v>100</v>
      </c>
      <c r="K34" s="90">
        <f>If(C$20 = 0,  Ceiling(($C$19 / VLOOKUp(Concat("$", Concat(J34, ".Search")) ,U$4:AB$780, 4, false) * VLOOKUp(Concat("$", Concat(J34, ".Search")) ,U$4:AB$780, 8, false) / AZ),1) * AZ, 
    If(VLOOKUp(Concat("$", Concat(J34, ".Search")) ,U$4:AB$780, 5, false) = 0 , "N/A", 
        Max( 
             Ceiling(($C$20 / (VLOOKUp(Concat("$", Concat(J34, ".Search")) ,U$4:AB$780, 5, false) * VLOOKUp(Concat("$", Concat(J34, ".Search")) ,U$4:AB$780, 6, false)* (1 - DiskOverprovisioning))) / AZ,1) * AZ , 
             Ceiling(($C$19 / VLOOKUp(Concat("$", Concat(J34, ".Search")) ,U$4:AB$780, 4, false) / AZ),1) * AZ
           ) * VLOOKUp(Concat("$", Concat(J34, ".Search")) ,U$4:AB$780, 8, false)
     )
 )</f>
        <v>1562.2</v>
      </c>
      <c r="L34" s="1"/>
      <c r="M34" s="91" t="s">
        <v>238</v>
      </c>
      <c r="N34" s="92">
        <v>3.984375</v>
      </c>
      <c r="O34" s="93">
        <v>22.853821667476115</v>
      </c>
      <c r="P34" s="94">
        <f t="shared" si="1"/>
        <v>26.47540984</v>
      </c>
      <c r="Q34" s="89" t="s">
        <v>100</v>
      </c>
      <c r="R34" s="94">
        <f t="shared" si="2"/>
        <v>26.47540984</v>
      </c>
      <c r="S34" s="92">
        <f t="shared" si="3"/>
        <v>0.3627868314</v>
      </c>
      <c r="T34" s="1"/>
      <c r="U34" s="101" t="s">
        <v>217</v>
      </c>
      <c r="V34" s="91" t="s">
        <v>239</v>
      </c>
      <c r="W34" s="102">
        <v>96.0</v>
      </c>
      <c r="X34" s="102">
        <v>192.0</v>
      </c>
      <c r="Y34" s="102">
        <v>0.0</v>
      </c>
      <c r="Z34" s="103">
        <v>0.0</v>
      </c>
      <c r="AA34" s="104" t="s">
        <v>236</v>
      </c>
      <c r="AB34" s="105">
        <v>1699.44</v>
      </c>
      <c r="AC34" s="1"/>
      <c r="AD34" s="86">
        <f>if(Miscellaneous!E34*AWS!C$5&gt; 256, "", Miscellaneous!E34*AWS!C$5)</f>
        <v>33</v>
      </c>
      <c r="AE34" s="110"/>
      <c r="AF34" s="110"/>
      <c r="AG34" s="110"/>
    </row>
    <row r="35">
      <c r="A35" s="1"/>
      <c r="B35" s="45" t="s">
        <v>240</v>
      </c>
      <c r="C35" s="131">
        <f>(AZTransferByWrite+AZTransferByWriteReplication)*AZTransferCost</f>
        <v>0</v>
      </c>
      <c r="D35" s="1"/>
      <c r="E35" s="1"/>
      <c r="F35" s="1"/>
      <c r="G35" s="1"/>
      <c r="H35" s="71" t="s">
        <v>133</v>
      </c>
      <c r="I35" s="88">
        <v>8744.67</v>
      </c>
      <c r="J35" s="89" t="s">
        <v>126</v>
      </c>
      <c r="K35" s="90">
        <f>If(C$20 = 0,  Ceiling(($C$19 / VLOOKUp(Concat("$", Concat(J35, ".Search")) ,U$4:AB$780, 4, false) * VLOOKUp(Concat("$", Concat(J35, ".Search")) ,U$4:AB$780, 8, false) / AZ),1) * AZ, 
    If(VLOOKUp(Concat("$", Concat(J35, ".Search")) ,U$4:AB$780, 5, false) = 0 , "N/A", 
        Max( 
             Ceiling(($C$20 / (VLOOKUp(Concat("$", Concat(J35, ".Search")) ,U$4:AB$780, 5, false) * VLOOKUp(Concat("$", Concat(J35, ".Search")) ,U$4:AB$780, 6, false)* (1 - DiskOverprovisioning))) / AZ,1) * AZ , 
             Ceiling(($C$19 / VLOOKUp(Concat("$", Concat(J35, ".Search")) ,U$4:AB$780, 4, false) / AZ),1) * AZ
           ) * VLOOKUp(Concat("$", Concat(J35, ".Search")) ,U$4:AB$780, 8, false)
     )
 )</f>
        <v>2023.56</v>
      </c>
      <c r="L35" s="1"/>
      <c r="M35" s="91" t="s">
        <v>241</v>
      </c>
      <c r="N35" s="92">
        <v>3.984375</v>
      </c>
      <c r="O35" s="93">
        <v>22.853821667476115</v>
      </c>
      <c r="P35" s="94">
        <f t="shared" si="1"/>
        <v>66.40625</v>
      </c>
      <c r="Q35" s="89" t="s">
        <v>126</v>
      </c>
      <c r="R35" s="94">
        <f t="shared" si="2"/>
        <v>66.40625</v>
      </c>
      <c r="S35" s="92">
        <f t="shared" si="3"/>
        <v>39.56805333</v>
      </c>
      <c r="T35" s="1"/>
      <c r="U35" s="101" t="s">
        <v>242</v>
      </c>
      <c r="V35" s="91" t="s">
        <v>243</v>
      </c>
      <c r="W35" s="102">
        <v>2.0</v>
      </c>
      <c r="X35" s="102">
        <v>4.0</v>
      </c>
      <c r="Y35" s="102">
        <v>1900.0</v>
      </c>
      <c r="Z35" s="103">
        <f t="shared" ref="Z35:Z37" si="4">Z36/2</f>
        <v>0.03947368421</v>
      </c>
      <c r="AA35" s="104" t="s">
        <v>105</v>
      </c>
      <c r="AB35" s="105">
        <v>39.42</v>
      </c>
      <c r="AC35" s="1"/>
      <c r="AD35" s="86">
        <f>if(Miscellaneous!E35*AWS!C$5&gt; 256, "", Miscellaneous!E35*AWS!C$5)</f>
        <v>34</v>
      </c>
      <c r="AE35" s="110"/>
      <c r="AF35" s="110"/>
      <c r="AG35" s="110"/>
    </row>
    <row r="36">
      <c r="A36" s="1"/>
      <c r="B36" s="51" t="s">
        <v>244</v>
      </c>
      <c r="C36" s="132">
        <f>AZTransferByRead*AZTransferCost</f>
        <v>0</v>
      </c>
      <c r="D36" s="1"/>
      <c r="E36" s="1"/>
      <c r="F36" s="1"/>
      <c r="G36" s="1"/>
      <c r="H36" s="71" t="s">
        <v>223</v>
      </c>
      <c r="I36" s="88">
        <v>9573.0</v>
      </c>
      <c r="J36" s="89" t="s">
        <v>128</v>
      </c>
      <c r="K36" s="90">
        <f>If(C$20 = 0,  Ceiling(($C$19 / VLOOKUp(Concat("$", Concat(J36, ".Search")) ,U$4:AB$780, 4, false) * VLOOKUp(Concat("$", Concat(J36, ".Search")) ,U$4:AB$780, 8, false) / AZ),1) * AZ, 
    If(VLOOKUp(Concat("$", Concat(J36, ".Search")) ,U$4:AB$780, 5, false) = 0 , "N/A", 
        Max( 
             Ceiling(($C$20 / (VLOOKUp(Concat("$", Concat(J36, ".Search")) ,U$4:AB$780, 5, false) * VLOOKUp(Concat("$", Concat(J36, ".Search")) ,U$4:AB$780, 6, false)* (1 - DiskOverprovisioning))) / AZ,1) * AZ , 
             Ceiling(($C$19 / VLOOKUp(Concat("$", Concat(J36, ".Search")) ,U$4:AB$780, 4, false) / AZ),1) * AZ
           ) * VLOOKUp(Concat("$", Concat(J36, ".Search")) ,U$4:AB$780, 8, false)
     )
 )</f>
        <v>1463.25</v>
      </c>
      <c r="L36" s="1"/>
      <c r="M36" s="91" t="s">
        <v>245</v>
      </c>
      <c r="N36" s="92">
        <v>3.984375</v>
      </c>
      <c r="O36" s="93">
        <v>22.853821667476115</v>
      </c>
      <c r="P36" s="94">
        <f t="shared" si="1"/>
        <v>24.90234375</v>
      </c>
      <c r="Q36" s="89" t="s">
        <v>128</v>
      </c>
      <c r="R36" s="94">
        <f t="shared" si="2"/>
        <v>24.90234375</v>
      </c>
      <c r="S36" s="92">
        <f t="shared" si="3"/>
        <v>1.935852917</v>
      </c>
      <c r="T36" s="1"/>
      <c r="U36" s="101" t="s">
        <v>242</v>
      </c>
      <c r="V36" s="91" t="s">
        <v>246</v>
      </c>
      <c r="W36" s="102">
        <v>4.0</v>
      </c>
      <c r="X36" s="102">
        <v>8.0</v>
      </c>
      <c r="Y36" s="102">
        <v>1900.0</v>
      </c>
      <c r="Z36" s="103">
        <f t="shared" si="4"/>
        <v>0.07894736842</v>
      </c>
      <c r="AA36" s="104" t="s">
        <v>105</v>
      </c>
      <c r="AB36" s="105">
        <v>78.84</v>
      </c>
      <c r="AC36" s="1"/>
      <c r="AD36" s="86">
        <f>if(Miscellaneous!E36*AWS!C$5&gt; 256, "", Miscellaneous!E36*AWS!C$5)</f>
        <v>35</v>
      </c>
      <c r="AE36" s="110"/>
      <c r="AF36" s="110"/>
      <c r="AG36" s="110"/>
    </row>
    <row r="37">
      <c r="A37" s="1"/>
      <c r="B37" s="1"/>
      <c r="C37" s="1"/>
      <c r="D37" s="1"/>
      <c r="E37" s="1"/>
      <c r="F37" s="1"/>
      <c r="G37" s="1"/>
      <c r="H37" s="71" t="s">
        <v>241</v>
      </c>
      <c r="I37" s="88">
        <v>9834.56</v>
      </c>
      <c r="J37" s="89" t="s">
        <v>108</v>
      </c>
      <c r="K37" s="90">
        <f>If(C$20 = 0,  Ceiling(($C$19 / VLOOKUp(Concat("$", Concat(J37, ".Search")) ,U$4:AB$780, 4, false) * VLOOKUp(Concat("$", Concat(J37, ".Search")) ,U$4:AB$780, 8, false) / AZ),1) * AZ, 
    If(VLOOKUp(Concat("$", Concat(J37, ".Search")) ,U$4:AB$780, 5, false) = 0 , "N/A", 
        Max( 
             Ceiling(($C$20 / (VLOOKUp(Concat("$", Concat(J37, ".Search")) ,U$4:AB$780, 5, false) * VLOOKUp(Concat("$", Concat(J37, ".Search")) ,U$4:AB$780, 6, false)* (1 - DiskOverprovisioning))) / AZ,1) * AZ , 
             Ceiling(($C$19 / VLOOKUp(Concat("$", Concat(J37, ".Search")) ,U$4:AB$780, 4, false) / AZ),1) * AZ
           ) * VLOOKUp(Concat("$", Concat(J37, ".Search")) ,U$4:AB$780, 8, false)
     )
 )</f>
        <v>1624.25</v>
      </c>
      <c r="L37" s="1"/>
      <c r="M37" s="91" t="s">
        <v>210</v>
      </c>
      <c r="N37" s="92">
        <v>3.154296875</v>
      </c>
      <c r="O37" s="93">
        <v>23.683899792476115</v>
      </c>
      <c r="P37" s="94">
        <f t="shared" si="1"/>
        <v>24.90234375</v>
      </c>
      <c r="Q37" s="89" t="s">
        <v>108</v>
      </c>
      <c r="R37" s="94">
        <f t="shared" si="2"/>
        <v>24.90234375</v>
      </c>
      <c r="S37" s="92">
        <f t="shared" si="3"/>
        <v>1.935852917</v>
      </c>
      <c r="T37" s="1"/>
      <c r="U37" s="101" t="s">
        <v>242</v>
      </c>
      <c r="V37" s="91" t="s">
        <v>247</v>
      </c>
      <c r="W37" s="102">
        <v>8.0</v>
      </c>
      <c r="X37" s="102">
        <v>16.0</v>
      </c>
      <c r="Y37" s="102">
        <v>1900.0</v>
      </c>
      <c r="Z37" s="103">
        <f t="shared" si="4"/>
        <v>0.1578947368</v>
      </c>
      <c r="AA37" s="104" t="s">
        <v>105</v>
      </c>
      <c r="AB37" s="105">
        <v>158.41</v>
      </c>
      <c r="AC37" s="1"/>
      <c r="AD37" s="86">
        <f>if(Miscellaneous!E37*AWS!C$5&gt; 256, "", Miscellaneous!E37*AWS!C$5)</f>
        <v>36</v>
      </c>
      <c r="AE37" s="110"/>
      <c r="AF37" s="110"/>
      <c r="AG37" s="110"/>
    </row>
    <row r="38">
      <c r="A38" s="1"/>
      <c r="B38" s="77" t="s">
        <v>248</v>
      </c>
      <c r="C38" s="55"/>
      <c r="D38" s="1"/>
      <c r="E38" s="1"/>
      <c r="F38" s="1"/>
      <c r="G38" s="1"/>
      <c r="H38" s="71" t="s">
        <v>245</v>
      </c>
      <c r="I38" s="88">
        <v>10776.990000000002</v>
      </c>
      <c r="J38" s="89" t="s">
        <v>121</v>
      </c>
      <c r="K38" s="90">
        <f>If(C$20 = 0,  Ceiling(($C$19 / VLOOKUp(Concat("$", Concat(J38, ".Search")) ,U$4:AB$780, 4, false) * VLOOKUp(Concat("$", Concat(J38, ".Search")) ,U$4:AB$780, 8, false) / AZ),1) * AZ, 
    If(VLOOKUp(Concat("$", Concat(J38, ".Search")) ,U$4:AB$780, 5, false) = 0 , "N/A", 
        Max( 
             Ceiling(($C$20 / (VLOOKUp(Concat("$", Concat(J38, ".Search")) ,U$4:AB$780, 5, false) * VLOOKUp(Concat("$", Concat(J38, ".Search")) ,U$4:AB$780, 6, false)* (1 - DiskOverprovisioning))) / AZ,1) * AZ , 
             Ceiling(($C$19 / VLOOKUp(Concat("$", Concat(J38, ".Search")) ,U$4:AB$780, 4, false) / AZ),1) * AZ
           ) * VLOOKUp(Concat("$", Concat(J38, ".Search")) ,U$4:AB$780, 8, false)
     )
 )</f>
        <v>1815.95</v>
      </c>
      <c r="L38" s="1"/>
      <c r="M38" s="91" t="s">
        <v>212</v>
      </c>
      <c r="N38" s="92">
        <v>2.98828125</v>
      </c>
      <c r="O38" s="93">
        <v>23.849915417476115</v>
      </c>
      <c r="P38" s="94">
        <f t="shared" si="1"/>
        <v>24.90234375</v>
      </c>
      <c r="Q38" s="89" t="s">
        <v>121</v>
      </c>
      <c r="R38" s="94">
        <f t="shared" si="2"/>
        <v>24.90234375</v>
      </c>
      <c r="S38" s="92">
        <f t="shared" si="3"/>
        <v>1.935852917</v>
      </c>
      <c r="T38" s="1"/>
      <c r="U38" s="101" t="s">
        <v>242</v>
      </c>
      <c r="V38" s="91" t="s">
        <v>249</v>
      </c>
      <c r="W38" s="102">
        <v>16.0</v>
      </c>
      <c r="X38" s="102">
        <v>32.0</v>
      </c>
      <c r="Y38" s="102">
        <v>1900.0</v>
      </c>
      <c r="Z38" s="103">
        <f>6/19</f>
        <v>0.3157894737</v>
      </c>
      <c r="AA38" s="104" t="s">
        <v>105</v>
      </c>
      <c r="AB38" s="105">
        <v>316.09</v>
      </c>
      <c r="AC38" s="1"/>
      <c r="AD38" s="86">
        <f>if(Miscellaneous!E38*AWS!C$5&gt; 256, "", Miscellaneous!E38*AWS!C$5)</f>
        <v>37</v>
      </c>
      <c r="AE38" s="110"/>
      <c r="AF38" s="110"/>
      <c r="AG38" s="110"/>
    </row>
    <row r="39">
      <c r="A39" s="1"/>
      <c r="B39" s="42" t="s">
        <v>250</v>
      </c>
      <c r="C39" s="44">
        <f>UniqueData</f>
        <v>1144.40918</v>
      </c>
      <c r="D39" s="1"/>
      <c r="E39" s="1"/>
      <c r="F39" s="1"/>
      <c r="G39" s="1"/>
      <c r="H39" s="71" t="s">
        <v>231</v>
      </c>
      <c r="I39" s="88">
        <v>11703.52</v>
      </c>
      <c r="J39" s="89" t="s">
        <v>132</v>
      </c>
      <c r="K39" s="90">
        <f>If(C$20 = 0,  Ceiling(($C$19 / VLOOKUp(Concat("$", Concat(J39, ".Search")) ,U$4:AB$780, 4, false) * VLOOKUp(Concat("$", Concat(J39, ".Search")) ,U$4:AB$780, 8, false) / AZ),1) * AZ, 
    If(VLOOKUp(Concat("$", Concat(J39, ".Search")) ,U$4:AB$780, 5, false) = 0 , "N/A", 
        Max( 
             Ceiling(($C$20 / (VLOOKUp(Concat("$", Concat(J39, ".Search")) ,U$4:AB$780, 5, false) * VLOOKUp(Concat("$", Concat(J39, ".Search")) ,U$4:AB$780, 6, false)* (1 - DiskOverprovisioning))) / AZ,1) * AZ , 
             Ceiling(($C$19 / VLOOKUp(Concat("$", Concat(J39, ".Search")) ,U$4:AB$780, 4, false) / AZ),1) * AZ
           ) * VLOOKUp(Concat("$", Concat(J39, ".Search")) ,U$4:AB$780, 8, false)
     )
 )</f>
        <v>2250.45</v>
      </c>
      <c r="L39" s="1"/>
      <c r="M39" s="91" t="s">
        <v>227</v>
      </c>
      <c r="N39" s="92">
        <v>2.98828125</v>
      </c>
      <c r="O39" s="93">
        <v>23.849915417476115</v>
      </c>
      <c r="P39" s="94">
        <f t="shared" si="1"/>
        <v>66.40625</v>
      </c>
      <c r="Q39" s="89" t="s">
        <v>132</v>
      </c>
      <c r="R39" s="94">
        <f t="shared" si="2"/>
        <v>66.40625</v>
      </c>
      <c r="S39" s="92">
        <f t="shared" si="3"/>
        <v>39.56805333</v>
      </c>
      <c r="T39" s="1"/>
      <c r="U39" s="101" t="s">
        <v>251</v>
      </c>
      <c r="V39" s="91" t="s">
        <v>252</v>
      </c>
      <c r="W39" s="102">
        <v>32.0</v>
      </c>
      <c r="X39" s="102">
        <v>64.0</v>
      </c>
      <c r="Y39" s="102">
        <v>1900.0</v>
      </c>
      <c r="Z39" s="103">
        <f>12/19</f>
        <v>0.6315789474</v>
      </c>
      <c r="AA39" s="104" t="s">
        <v>154</v>
      </c>
      <c r="AB39" s="105">
        <v>632.91</v>
      </c>
      <c r="AC39" s="1"/>
      <c r="AD39" s="86">
        <f>if(Miscellaneous!E39*AWS!C$5&gt; 256, "", Miscellaneous!E39*AWS!C$5)</f>
        <v>38</v>
      </c>
      <c r="AE39" s="110"/>
      <c r="AF39" s="110"/>
      <c r="AG39" s="110"/>
    </row>
    <row r="40">
      <c r="A40" s="1"/>
      <c r="B40" s="74" t="s">
        <v>253</v>
      </c>
      <c r="C40" s="14"/>
      <c r="D40" s="1"/>
      <c r="E40" s="1"/>
      <c r="F40" s="1"/>
      <c r="G40" s="1"/>
      <c r="H40" s="71" t="s">
        <v>101</v>
      </c>
      <c r="I40" s="88">
        <v>12150.119999999999</v>
      </c>
      <c r="J40" s="89" t="s">
        <v>115</v>
      </c>
      <c r="K40" s="90">
        <f>If(C$20 = 0,  Ceiling(($C$19 / VLOOKUp(Concat("$", Concat(J40, ".Search")) ,U$4:AB$780, 4, false) * VLOOKUp(Concat("$", Concat(J40, ".Search")) ,U$4:AB$780, 8, false) / AZ),1) * AZ, 
    If(VLOOKUp(Concat("$", Concat(J40, ".Search")) ,U$4:AB$780, 5, false) = 0 , "N/A", 
        Max( 
             Ceiling(($C$20 / (VLOOKUp(Concat("$", Concat(J40, ".Search")) ,U$4:AB$780, 5, false) * VLOOKUp(Concat("$", Concat(J40, ".Search")) ,U$4:AB$780, 6, false)* (1 - DiskOverprovisioning))) / AZ,1) * AZ , 
             Ceiling(($C$19 / VLOOKUp(Concat("$", Concat(J40, ".Search")) ,U$4:AB$780, 4, false) / AZ),1) * AZ
           ) * VLOOKUp(Concat("$", Concat(J40, ".Search")) ,U$4:AB$780, 8, false)
     )
 )</f>
        <v>1650.95</v>
      </c>
      <c r="L40" s="1"/>
      <c r="M40" s="91" t="s">
        <v>254</v>
      </c>
      <c r="N40" s="92">
        <v>2.2295081967213113</v>
      </c>
      <c r="O40" s="93">
        <v>24.608688470754803</v>
      </c>
      <c r="P40" s="94">
        <f t="shared" si="1"/>
        <v>24.90234375</v>
      </c>
      <c r="Q40" s="89" t="s">
        <v>115</v>
      </c>
      <c r="R40" s="94">
        <f t="shared" si="2"/>
        <v>24.90234375</v>
      </c>
      <c r="S40" s="92">
        <f t="shared" si="3"/>
        <v>1.935852917</v>
      </c>
      <c r="T40" s="1"/>
      <c r="U40" s="101" t="s">
        <v>242</v>
      </c>
      <c r="V40" s="91" t="s">
        <v>255</v>
      </c>
      <c r="W40" s="102">
        <v>48.0</v>
      </c>
      <c r="X40" s="102">
        <v>96.0</v>
      </c>
      <c r="Y40" s="102">
        <v>1900.0</v>
      </c>
      <c r="Z40" s="103">
        <f>18/19</f>
        <v>0.9473684211</v>
      </c>
      <c r="AA40" s="104" t="s">
        <v>198</v>
      </c>
      <c r="AB40" s="105">
        <v>949.0</v>
      </c>
      <c r="AC40" s="1"/>
      <c r="AD40" s="86">
        <f>if(Miscellaneous!E40*AWS!C$5&gt; 256, "", Miscellaneous!E40*AWS!C$5)</f>
        <v>39</v>
      </c>
      <c r="AE40" s="110"/>
      <c r="AF40" s="110"/>
      <c r="AG40" s="110"/>
    </row>
    <row r="41">
      <c r="A41" s="1"/>
      <c r="B41" s="42" t="s">
        <v>256</v>
      </c>
      <c r="C41" s="131">
        <f>F12*C11</f>
        <v>140.16</v>
      </c>
      <c r="D41" s="1"/>
      <c r="E41" s="1"/>
      <c r="F41" s="1"/>
      <c r="G41" s="1"/>
      <c r="H41" s="71" t="s">
        <v>257</v>
      </c>
      <c r="I41" s="88">
        <v>14977.550000000001</v>
      </c>
      <c r="J41" s="89" t="s">
        <v>143</v>
      </c>
      <c r="K41" s="90">
        <f>If(C$20 = 0,  Ceiling(($C$19 / VLOOKUp(Concat("$", Concat(J41, ".Search")) ,U$4:AB$780, 4, false) * VLOOKUp(Concat("$", Concat(J41, ".Search")) ,U$4:AB$780, 8, false) / AZ),1) * AZ, 
    If(VLOOKUp(Concat("$", Concat(J41, ".Search")) ,U$4:AB$780, 5, false) = 0 , "N/A", 
        Max( 
             Ceiling(($C$20 / (VLOOKUp(Concat("$", Concat(J41, ".Search")) ,U$4:AB$780, 5, false) * VLOOKUp(Concat("$", Concat(J41, ".Search")) ,U$4:AB$780, 6, false)* (1 - DiskOverprovisioning))) / AZ,1) * AZ , 
             Ceiling(($C$19 / VLOOKUp(Concat("$", Concat(J41, ".Search")) ,U$4:AB$780, 4, false) / AZ),1) * AZ
           ) * VLOOKUp(Concat("$", Concat(J41, ".Search")) ,U$4:AB$780, 8, false)
     )
 )</f>
        <v>3065.76</v>
      </c>
      <c r="L41" s="1"/>
      <c r="M41" s="91" t="s">
        <v>258</v>
      </c>
      <c r="N41" s="92">
        <v>1.6721311475409837</v>
      </c>
      <c r="O41" s="93">
        <v>25.16606551993513</v>
      </c>
      <c r="P41" s="94">
        <f t="shared" si="1"/>
        <v>99.609375</v>
      </c>
      <c r="Q41" s="89" t="s">
        <v>143</v>
      </c>
      <c r="R41" s="94">
        <f t="shared" si="2"/>
        <v>99.609375</v>
      </c>
      <c r="S41" s="92">
        <f t="shared" si="3"/>
        <v>72.77117833</v>
      </c>
      <c r="T41" s="1"/>
      <c r="U41" s="101" t="s">
        <v>242</v>
      </c>
      <c r="V41" s="91" t="s">
        <v>259</v>
      </c>
      <c r="W41" s="102">
        <v>64.0</v>
      </c>
      <c r="X41" s="102">
        <v>128.0</v>
      </c>
      <c r="Y41" s="102">
        <v>1900.0</v>
      </c>
      <c r="Z41" s="103">
        <f>2*12/19</f>
        <v>1.263157895</v>
      </c>
      <c r="AA41" s="104" t="s">
        <v>236</v>
      </c>
      <c r="AB41" s="105">
        <v>1265.82</v>
      </c>
      <c r="AC41" s="1"/>
      <c r="AD41" s="86">
        <f>if(Miscellaneous!E41*AWS!C$5&gt; 256, "", Miscellaneous!E41*AWS!C$5)</f>
        <v>40</v>
      </c>
      <c r="AE41" s="110"/>
      <c r="AF41" s="110"/>
      <c r="AG41" s="110"/>
    </row>
    <row r="42">
      <c r="A42" s="1"/>
      <c r="B42" s="42" t="s">
        <v>260</v>
      </c>
      <c r="C42" s="131">
        <f>C41*12</f>
        <v>1681.92</v>
      </c>
      <c r="D42" s="1"/>
      <c r="E42" s="1"/>
      <c r="F42" s="1"/>
      <c r="G42" s="1"/>
      <c r="H42" s="71" t="s">
        <v>258</v>
      </c>
      <c r="I42" s="88">
        <v>15001.5</v>
      </c>
      <c r="J42" s="89" t="s">
        <v>261</v>
      </c>
      <c r="K42" s="90" t="str">
        <f>If(C$20 = 0,  Ceiling(($C$19 / VLOOKUp(Concat("$", Concat(J42, ".Search")) ,U$4:AB$780, 4, false) * VLOOKUp(Concat("$", Concat(J42, ".Search")) ,U$4:AB$780, 8, false) / AZ),1) * AZ, 
    If(VLOOKUp(Concat("$", Concat(J42, ".Search")) ,U$4:AB$780, 5, false) = 0 , "N/A", 
        Max( 
             Ceiling(($C$20 / (VLOOKUp(Concat("$", Concat(J42, ".Search")) ,U$4:AB$780, 5, false) * VLOOKUp(Concat("$", Concat(J42, ".Search")) ,U$4:AB$780, 6, false)* (1 - DiskOverprovisioning))) / AZ,1) * AZ , 
             Ceiling(($C$19 / VLOOKUp(Concat("$", Concat(J42, ".Search")) ,U$4:AB$780, 4, false) / AZ),1) * AZ
           ) * VLOOKUp(Concat("$", Concat(J42, ".Search")) ,U$4:AB$780, 8, false)
     )
 )</f>
        <v>N/A</v>
      </c>
      <c r="L42" s="1"/>
      <c r="M42" s="91" t="s">
        <v>257</v>
      </c>
      <c r="N42" s="92">
        <v>1.5771484375</v>
      </c>
      <c r="O42" s="93">
        <v>25.261048229976115</v>
      </c>
      <c r="P42" s="94">
        <f t="shared" si="1"/>
        <v>0</v>
      </c>
      <c r="Q42" s="89" t="s">
        <v>261</v>
      </c>
      <c r="R42" s="94" t="str">
        <f t="shared" si="2"/>
        <v>N/A</v>
      </c>
      <c r="S42" s="92" t="str">
        <f t="shared" si="3"/>
        <v>N/A</v>
      </c>
      <c r="T42" s="1"/>
      <c r="U42" s="101" t="s">
        <v>242</v>
      </c>
      <c r="V42" s="91" t="s">
        <v>262</v>
      </c>
      <c r="W42" s="102">
        <v>96.0</v>
      </c>
      <c r="X42" s="102">
        <v>192.0</v>
      </c>
      <c r="Y42" s="102">
        <v>1900.0</v>
      </c>
      <c r="Z42" s="103">
        <v>2.0</v>
      </c>
      <c r="AA42" s="104" t="s">
        <v>236</v>
      </c>
      <c r="AB42" s="105">
        <v>1898.73</v>
      </c>
      <c r="AC42" s="1"/>
      <c r="AD42" s="86">
        <f>if(Miscellaneous!E42*AWS!C$5&gt; 256, "", Miscellaneous!E42*AWS!C$5)</f>
        <v>41</v>
      </c>
      <c r="AE42" s="110"/>
      <c r="AF42" s="110"/>
      <c r="AG42" s="110"/>
    </row>
    <row r="43">
      <c r="A43" s="1"/>
      <c r="B43" s="70" t="s">
        <v>263</v>
      </c>
      <c r="C43" s="14"/>
      <c r="D43" s="1"/>
      <c r="E43" s="1"/>
      <c r="F43" s="1"/>
      <c r="G43" s="1"/>
      <c r="H43" s="71" t="s">
        <v>228</v>
      </c>
      <c r="I43" s="88">
        <v>15673.099999999999</v>
      </c>
      <c r="J43" s="89" t="s">
        <v>264</v>
      </c>
      <c r="K43" s="90" t="str">
        <f>If(C$20 = 0,  Ceiling(($C$19 / VLOOKUp(Concat("$", Concat(J43, ".Search")) ,U$4:AB$780, 4, false) * VLOOKUp(Concat("$", Concat(J43, ".Search")) ,U$4:AB$780, 8, false) / AZ),1) * AZ, 
    If(VLOOKUp(Concat("$", Concat(J43, ".Search")) ,U$4:AB$780, 5, false) = 0 , "N/A", 
        Max( 
             Ceiling(($C$20 / (VLOOKUp(Concat("$", Concat(J43, ".Search")) ,U$4:AB$780, 5, false) * VLOOKUp(Concat("$", Concat(J43, ".Search")) ,U$4:AB$780, 6, false)* (1 - DiskOverprovisioning))) / AZ,1) * AZ , 
             Ceiling(($C$19 / VLOOKUp(Concat("$", Concat(J43, ".Search")) ,U$4:AB$780, 4, false) / AZ),1) * AZ
           ) * VLOOKUp(Concat("$", Concat(J43, ".Search")) ,U$4:AB$780, 8, false)
     )
 )</f>
        <v>N/A</v>
      </c>
      <c r="L43" s="1"/>
      <c r="M43" s="91" t="s">
        <v>265</v>
      </c>
      <c r="N43" s="92">
        <v>0.8360655737704918</v>
      </c>
      <c r="O43" s="93">
        <v>26.002131093705625</v>
      </c>
      <c r="P43" s="94">
        <f t="shared" si="1"/>
        <v>0</v>
      </c>
      <c r="Q43" s="89" t="s">
        <v>264</v>
      </c>
      <c r="R43" s="94" t="str">
        <f t="shared" si="2"/>
        <v>N/A</v>
      </c>
      <c r="S43" s="92" t="str">
        <f t="shared" si="3"/>
        <v>N/A</v>
      </c>
      <c r="T43" s="1"/>
      <c r="U43" s="101" t="s">
        <v>266</v>
      </c>
      <c r="V43" s="91" t="s">
        <v>267</v>
      </c>
      <c r="W43" s="102">
        <v>2.0</v>
      </c>
      <c r="X43" s="102">
        <v>4.0</v>
      </c>
      <c r="Y43" s="102">
        <v>900.0</v>
      </c>
      <c r="Z43" s="103">
        <f t="shared" ref="Z43:Z45" si="5">Z44/2</f>
        <v>0.05555555556</v>
      </c>
      <c r="AA43" s="104" t="s">
        <v>105</v>
      </c>
      <c r="AB43" s="105">
        <v>43.8</v>
      </c>
      <c r="AC43" s="1"/>
      <c r="AD43" s="86">
        <f>if(Miscellaneous!E43*AWS!C$5&gt; 256, "", Miscellaneous!E43*AWS!C$5)</f>
        <v>42</v>
      </c>
      <c r="AE43" s="110"/>
      <c r="AF43" s="110"/>
      <c r="AG43" s="110"/>
    </row>
    <row r="44">
      <c r="A44" s="1"/>
      <c r="B44" s="71" t="s">
        <v>256</v>
      </c>
      <c r="C44" s="131">
        <f>C45/12</f>
        <v>0</v>
      </c>
      <c r="D44" s="1"/>
      <c r="E44" s="1"/>
      <c r="F44" s="1"/>
      <c r="G44" s="1"/>
      <c r="H44" s="71" t="s">
        <v>254</v>
      </c>
      <c r="I44" s="88">
        <v>17392.98</v>
      </c>
      <c r="J44" s="89" t="s">
        <v>156</v>
      </c>
      <c r="K44" s="90">
        <f>If(C$20 = 0,  Ceiling(($C$19 / VLOOKUp(Concat("$", Concat(J44, ".Search")) ,U$4:AB$780, 4, false) * VLOOKUp(Concat("$", Concat(J44, ".Search")) ,U$4:AB$780, 8, false) / AZ),1) * AZ, 
    If(VLOOKUp(Concat("$", Concat(J44, ".Search")) ,U$4:AB$780, 5, false) = 0 , "N/A", 
        Max( 
             Ceiling(($C$20 / (VLOOKUp(Concat("$", Concat(J44, ".Search")) ,U$4:AB$780, 5, false) * VLOOKUp(Concat("$", Concat(J44, ".Search")) ,U$4:AB$780, 6, false)* (1 - DiskOverprovisioning))) / AZ,1) * AZ , 
             Ceiling(($C$19 / VLOOKUp(Concat("$", Concat(J44, ".Search")) ,U$4:AB$780, 4, false) / AZ),1) * AZ
           ) * VLOOKUp(Concat("$", Concat(J44, ".Search")) ,U$4:AB$780, 8, false)
     )
 )</f>
        <v>3443.16</v>
      </c>
      <c r="L44" s="1"/>
      <c r="M44" s="91" t="s">
        <v>268</v>
      </c>
      <c r="N44" s="92">
        <v>0.78857421875</v>
      </c>
      <c r="O44" s="93">
        <v>26.049622448726115</v>
      </c>
      <c r="P44" s="94">
        <f t="shared" si="1"/>
        <v>132.8125</v>
      </c>
      <c r="Q44" s="89" t="s">
        <v>156</v>
      </c>
      <c r="R44" s="94">
        <f t="shared" si="2"/>
        <v>132.8125</v>
      </c>
      <c r="S44" s="92">
        <f t="shared" si="3"/>
        <v>105.9743033</v>
      </c>
      <c r="T44" s="1"/>
      <c r="U44" s="101" t="s">
        <v>266</v>
      </c>
      <c r="V44" s="91" t="s">
        <v>269</v>
      </c>
      <c r="W44" s="102">
        <v>4.0</v>
      </c>
      <c r="X44" s="102">
        <v>8.0</v>
      </c>
      <c r="Y44" s="102">
        <v>900.0</v>
      </c>
      <c r="Z44" s="103">
        <f t="shared" si="5"/>
        <v>0.1111111111</v>
      </c>
      <c r="AA44" s="104" t="s">
        <v>105</v>
      </c>
      <c r="AB44" s="105">
        <v>88.33</v>
      </c>
      <c r="AC44" s="1"/>
      <c r="AD44" s="86">
        <f>if(Miscellaneous!E44*AWS!C$5&gt; 256, "", Miscellaneous!E44*AWS!C$5)</f>
        <v>43</v>
      </c>
      <c r="AE44" s="110"/>
      <c r="AF44" s="110"/>
      <c r="AG44" s="110"/>
    </row>
    <row r="45">
      <c r="A45" s="1"/>
      <c r="B45" s="71" t="s">
        <v>260</v>
      </c>
      <c r="C45" s="131">
        <f>Sum(C35:C36)</f>
        <v>0</v>
      </c>
      <c r="D45" s="1"/>
      <c r="E45" s="1"/>
      <c r="F45" s="1"/>
      <c r="G45" s="1"/>
      <c r="H45" s="71" t="s">
        <v>212</v>
      </c>
      <c r="I45" s="88">
        <v>22716.870000000003</v>
      </c>
      <c r="J45" s="89" t="s">
        <v>228</v>
      </c>
      <c r="K45" s="90">
        <f>If(C$20 = 0,  Ceiling(($C$19 / VLOOKUp(Concat("$", Concat(J45, ".Search")) ,U$4:AB$780, 4, false) * VLOOKUp(Concat("$", Concat(J45, ".Search")) ,U$4:AB$780, 8, false) / AZ),1) * AZ, 
    If(VLOOKUp(Concat("$", Concat(J45, ".Search")) ,U$4:AB$780, 5, false) = 0 , "N/A", 
        Max( 
             Ceiling(($C$20 / (VLOOKUp(Concat("$", Concat(J45, ".Search")) ,U$4:AB$780, 5, false) * VLOOKUp(Concat("$", Concat(J45, ".Search")) ,U$4:AB$780, 6, false)* (1 - DiskOverprovisioning))) / AZ,1) * AZ , 
             Ceiling(($C$19 / VLOOKUp(Concat("$", Concat(J45, ".Search")) ,U$4:AB$780, 4, false) / AZ),1) * AZ
           ) * VLOOKUp(Concat("$", Concat(J45, ".Search")) ,U$4:AB$780, 8, false)
     )
 )</f>
        <v>15673.1</v>
      </c>
      <c r="L45" s="1"/>
      <c r="M45" s="91" t="s">
        <v>126</v>
      </c>
      <c r="N45" s="92">
        <v>66.40625</v>
      </c>
      <c r="O45" s="94">
        <v>39.56805333252389</v>
      </c>
      <c r="P45" s="94">
        <f t="shared" si="1"/>
        <v>4.533333333</v>
      </c>
      <c r="Q45" s="89" t="s">
        <v>228</v>
      </c>
      <c r="R45" s="94">
        <f t="shared" si="2"/>
        <v>4.533333333</v>
      </c>
      <c r="S45" s="92">
        <f t="shared" si="3"/>
        <v>22.30486333</v>
      </c>
      <c r="T45" s="1"/>
      <c r="U45" s="101" t="s">
        <v>266</v>
      </c>
      <c r="V45" s="91" t="s">
        <v>270</v>
      </c>
      <c r="W45" s="102">
        <v>8.0</v>
      </c>
      <c r="X45" s="102">
        <v>16.0</v>
      </c>
      <c r="Y45" s="102">
        <v>900.0</v>
      </c>
      <c r="Z45" s="103">
        <f t="shared" si="5"/>
        <v>0.2222222222</v>
      </c>
      <c r="AA45" s="104" t="s">
        <v>105</v>
      </c>
      <c r="AB45" s="105">
        <v>176.66</v>
      </c>
      <c r="AC45" s="1"/>
      <c r="AD45" s="86">
        <f>if(Miscellaneous!E45*AWS!C$5&gt; 256, "", Miscellaneous!E45*AWS!C$5)</f>
        <v>44</v>
      </c>
      <c r="AE45" s="110"/>
      <c r="AF45" s="110"/>
      <c r="AG45" s="110"/>
    </row>
    <row r="46">
      <c r="A46" s="1"/>
      <c r="B46" s="70" t="s">
        <v>271</v>
      </c>
      <c r="C46" s="14"/>
      <c r="D46" s="1"/>
      <c r="E46" s="1"/>
      <c r="F46" s="1"/>
      <c r="G46" s="1"/>
      <c r="H46" s="71" t="s">
        <v>227</v>
      </c>
      <c r="I46" s="88">
        <v>22909.48</v>
      </c>
      <c r="J46" s="89" t="s">
        <v>272</v>
      </c>
      <c r="K46" s="90" t="str">
        <f>If(C$20 = 0,  Ceiling(($C$19 / VLOOKUp(Concat("$", Concat(J46, ".Search")) ,U$4:AB$780, 4, false) * VLOOKUp(Concat("$", Concat(J46, ".Search")) ,U$4:AB$780, 8, false) / AZ),1) * AZ, 
    If(VLOOKUp(Concat("$", Concat(J46, ".Search")) ,U$4:AB$780, 5, false) = 0 , "N/A", 
        Max( 
             Ceiling(($C$20 / (VLOOKUp(Concat("$", Concat(J46, ".Search")) ,U$4:AB$780, 5, false) * VLOOKUp(Concat("$", Concat(J46, ".Search")) ,U$4:AB$780, 6, false)* (1 - DiskOverprovisioning))) / AZ,1) * AZ , 
             Ceiling(($C$19 / VLOOKUp(Concat("$", Concat(J46, ".Search")) ,U$4:AB$780, 4, false) / AZ),1) * AZ
           ) * VLOOKUp(Concat("$", Concat(J46, ".Search")) ,U$4:AB$780, 8, false)
     )
 )</f>
        <v>N/A</v>
      </c>
      <c r="L46" s="1"/>
      <c r="M46" s="91" t="s">
        <v>132</v>
      </c>
      <c r="N46" s="92">
        <v>66.40625</v>
      </c>
      <c r="O46" s="94">
        <v>39.56805333252389</v>
      </c>
      <c r="P46" s="94">
        <f t="shared" si="1"/>
        <v>0</v>
      </c>
      <c r="Q46" s="89" t="s">
        <v>272</v>
      </c>
      <c r="R46" s="94" t="str">
        <f t="shared" si="2"/>
        <v>N/A</v>
      </c>
      <c r="S46" s="92" t="str">
        <f t="shared" si="3"/>
        <v>N/A</v>
      </c>
      <c r="T46" s="1"/>
      <c r="U46" s="101" t="s">
        <v>266</v>
      </c>
      <c r="V46" s="91" t="s">
        <v>273</v>
      </c>
      <c r="W46" s="102">
        <v>16.0</v>
      </c>
      <c r="X46" s="102">
        <v>32.0</v>
      </c>
      <c r="Y46" s="102">
        <v>900.0</v>
      </c>
      <c r="Z46" s="103">
        <f>4/9</f>
        <v>0.4444444444</v>
      </c>
      <c r="AA46" s="104" t="s">
        <v>105</v>
      </c>
      <c r="AB46" s="105">
        <v>353.32</v>
      </c>
      <c r="AC46" s="1"/>
      <c r="AD46" s="86">
        <f>if(Miscellaneous!E46*AWS!C$5&gt; 256, "", Miscellaneous!E46*AWS!C$5)</f>
        <v>45</v>
      </c>
      <c r="AE46" s="110"/>
      <c r="AF46" s="110"/>
      <c r="AG46" s="110"/>
    </row>
    <row r="47">
      <c r="A47" s="1"/>
      <c r="B47" s="71" t="s">
        <v>256</v>
      </c>
      <c r="C47" s="131">
        <f t="shared" ref="C47:C48" si="6">C41+C44</f>
        <v>140.16</v>
      </c>
      <c r="D47" s="1"/>
      <c r="E47" s="1"/>
      <c r="F47" s="1"/>
      <c r="G47" s="1"/>
      <c r="H47" s="71" t="s">
        <v>268</v>
      </c>
      <c r="I47" s="88">
        <v>29955.100000000002</v>
      </c>
      <c r="J47" s="89" t="s">
        <v>274</v>
      </c>
      <c r="K47" s="90" t="str">
        <f>If(C$20 = 0,  Ceiling(($C$19 / VLOOKUp(Concat("$", Concat(J47, ".Search")) ,U$4:AB$780, 4, false) * VLOOKUp(Concat("$", Concat(J47, ".Search")) ,U$4:AB$780, 8, false) / AZ),1) * AZ, 
    If(VLOOKUp(Concat("$", Concat(J47, ".Search")) ,U$4:AB$780, 5, false) = 0 , "N/A", 
        Max( 
             Ceiling(($C$20 / (VLOOKUp(Concat("$", Concat(J47, ".Search")) ,U$4:AB$780, 5, false) * VLOOKUp(Concat("$", Concat(J47, ".Search")) ,U$4:AB$780, 6, false)* (1 - DiskOverprovisioning))) / AZ,1) * AZ , 
             Ceiling(($C$19 / VLOOKUp(Concat("$", Concat(J47, ".Search")) ,U$4:AB$780, 4, false) / AZ),1) * AZ
           ) * VLOOKUp(Concat("$", Concat(J47, ".Search")) ,U$4:AB$780, 8, false)
     )
 )</f>
        <v>N/A</v>
      </c>
      <c r="L47" s="1"/>
      <c r="M47" s="91" t="s">
        <v>143</v>
      </c>
      <c r="N47" s="92">
        <v>99.609375</v>
      </c>
      <c r="O47" s="94">
        <v>72.77117833252389</v>
      </c>
      <c r="P47" s="94">
        <f t="shared" si="1"/>
        <v>0</v>
      </c>
      <c r="Q47" s="89" t="s">
        <v>274</v>
      </c>
      <c r="R47" s="94" t="str">
        <f t="shared" si="2"/>
        <v>N/A</v>
      </c>
      <c r="S47" s="92" t="str">
        <f t="shared" si="3"/>
        <v>N/A</v>
      </c>
      <c r="T47" s="1"/>
      <c r="U47" s="101" t="s">
        <v>275</v>
      </c>
      <c r="V47" s="91" t="s">
        <v>276</v>
      </c>
      <c r="W47" s="102">
        <v>36.0</v>
      </c>
      <c r="X47" s="102">
        <v>72.0</v>
      </c>
      <c r="Y47" s="102">
        <v>900.0</v>
      </c>
      <c r="Z47" s="103">
        <v>1.0</v>
      </c>
      <c r="AA47" s="104" t="s">
        <v>198</v>
      </c>
      <c r="AB47" s="105">
        <v>794.97</v>
      </c>
      <c r="AC47" s="1"/>
      <c r="AD47" s="86">
        <f>if(Miscellaneous!E47*AWS!C$5&gt; 256, "", Miscellaneous!E47*AWS!C$5)</f>
        <v>46</v>
      </c>
      <c r="AE47" s="110"/>
      <c r="AF47" s="110"/>
      <c r="AG47" s="110"/>
    </row>
    <row r="48">
      <c r="A48" s="1"/>
      <c r="B48" s="72" t="s">
        <v>260</v>
      </c>
      <c r="C48" s="132">
        <f t="shared" si="6"/>
        <v>1681.92</v>
      </c>
      <c r="D48" s="1"/>
      <c r="E48" s="1"/>
      <c r="F48" s="1"/>
      <c r="G48" s="1"/>
      <c r="H48" s="71" t="s">
        <v>265</v>
      </c>
      <c r="I48" s="88">
        <v>30017.600000000002</v>
      </c>
      <c r="J48" s="89" t="s">
        <v>277</v>
      </c>
      <c r="K48" s="90" t="str">
        <f>If(C$20 = 0,  Ceiling(($C$19 / VLOOKUp(Concat("$", Concat(J48, ".Search")) ,U$4:AB$780, 4, false) * VLOOKUp(Concat("$", Concat(J48, ".Search")) ,U$4:AB$780, 8, false) / AZ),1) * AZ, 
    If(VLOOKUp(Concat("$", Concat(J48, ".Search")) ,U$4:AB$780, 5, false) = 0 , "N/A", 
        Max( 
             Ceiling(($C$20 / (VLOOKUp(Concat("$", Concat(J48, ".Search")) ,U$4:AB$780, 5, false) * VLOOKUp(Concat("$", Concat(J48, ".Search")) ,U$4:AB$780, 6, false)* (1 - DiskOverprovisioning))) / AZ,1) * AZ , 
             Ceiling(($C$19 / VLOOKUp(Concat("$", Concat(J48, ".Search")) ,U$4:AB$780, 4, false) / AZ),1) * AZ
           ) * VLOOKUp(Concat("$", Concat(J48, ".Search")) ,U$4:AB$780, 8, false)
     )
 )</f>
        <v>N/A</v>
      </c>
      <c r="L48" s="1"/>
      <c r="M48" s="91" t="s">
        <v>156</v>
      </c>
      <c r="N48" s="92">
        <v>132.8125</v>
      </c>
      <c r="O48" s="94">
        <v>105.97430333252389</v>
      </c>
      <c r="P48" s="94">
        <f t="shared" si="1"/>
        <v>0</v>
      </c>
      <c r="Q48" s="89" t="s">
        <v>277</v>
      </c>
      <c r="R48" s="94" t="str">
        <f t="shared" si="2"/>
        <v>N/A</v>
      </c>
      <c r="S48" s="92" t="str">
        <f t="shared" si="3"/>
        <v>N/A</v>
      </c>
      <c r="T48" s="1"/>
      <c r="U48" s="101" t="s">
        <v>266</v>
      </c>
      <c r="V48" s="91" t="s">
        <v>278</v>
      </c>
      <c r="W48" s="102">
        <v>48.0</v>
      </c>
      <c r="X48" s="102">
        <v>96.0</v>
      </c>
      <c r="Y48" s="102">
        <v>900.0</v>
      </c>
      <c r="Z48" s="103">
        <v>2.0</v>
      </c>
      <c r="AA48" s="104" t="s">
        <v>198</v>
      </c>
      <c r="AB48" s="105">
        <v>1059.96</v>
      </c>
      <c r="AC48" s="1"/>
      <c r="AD48" s="86">
        <f>if(Miscellaneous!E48*AWS!C$5&gt; 256, "", Miscellaneous!E48*AWS!C$5)</f>
        <v>47</v>
      </c>
      <c r="AE48" s="110"/>
      <c r="AF48" s="110"/>
      <c r="AG48" s="110"/>
    </row>
    <row r="49">
      <c r="A49" s="1"/>
      <c r="B49" s="1"/>
      <c r="C49" s="1"/>
      <c r="D49" s="1"/>
      <c r="E49" s="1"/>
      <c r="F49" s="1"/>
      <c r="G49" s="1"/>
      <c r="H49" s="71" t="s">
        <v>89</v>
      </c>
      <c r="I49" s="88" t="s">
        <v>279</v>
      </c>
      <c r="J49" s="89" t="s">
        <v>191</v>
      </c>
      <c r="K49" s="90">
        <f>If(C$20 = 0,  Ceiling(($C$19 / VLOOKUp(Concat("$", Concat(J49, ".Search")) ,U$4:AB$780, 4, false) * VLOOKUp(Concat("$", Concat(J49, ".Search")) ,U$4:AB$780, 8, false) / AZ),1) * AZ, 
    If(VLOOKUp(Concat("$", Concat(J49, ".Search")) ,U$4:AB$780, 5, false) = 0 , "N/A", 
        Max( 
             Ceiling(($C$20 / (VLOOKUp(Concat("$", Concat(J49, ".Search")) ,U$4:AB$780, 5, false) * VLOOKUp(Concat("$", Concat(J49, ".Search")) ,U$4:AB$780, 6, false)* (1 - DiskOverprovisioning))) / AZ,1) * AZ , 
             Ceiling(($C$19 / VLOOKUp(Concat("$", Concat(J49, ".Search")) ,U$4:AB$780, 4, false) / AZ),1) * AZ
           ) * VLOOKUp(Concat("$", Concat(J49, ".Search")) ,U$4:AB$780, 8, false)
     )
 )</f>
        <v>6061.92</v>
      </c>
      <c r="L49" s="1"/>
      <c r="M49" s="91" t="s">
        <v>89</v>
      </c>
      <c r="N49" s="92" t="s">
        <v>279</v>
      </c>
      <c r="O49" s="94" t="s">
        <v>279</v>
      </c>
      <c r="P49" s="94">
        <f t="shared" si="1"/>
        <v>7.96875</v>
      </c>
      <c r="Q49" s="89" t="s">
        <v>191</v>
      </c>
      <c r="R49" s="94">
        <f t="shared" si="2"/>
        <v>7.96875</v>
      </c>
      <c r="S49" s="92">
        <f t="shared" si="3"/>
        <v>18.86944667</v>
      </c>
      <c r="T49" s="1"/>
      <c r="U49" s="101" t="s">
        <v>266</v>
      </c>
      <c r="V49" s="91" t="s">
        <v>280</v>
      </c>
      <c r="W49" s="102">
        <v>72.0</v>
      </c>
      <c r="X49" s="102">
        <v>144.0</v>
      </c>
      <c r="Y49" s="102">
        <v>900.0</v>
      </c>
      <c r="Z49" s="103">
        <v>2.0</v>
      </c>
      <c r="AA49" s="104" t="s">
        <v>208</v>
      </c>
      <c r="AB49" s="105">
        <v>1589.21</v>
      </c>
      <c r="AC49" s="1"/>
      <c r="AD49" s="86">
        <f>if(Miscellaneous!E49*AWS!C$5&gt; 256, "", Miscellaneous!E49*AWS!C$5)</f>
        <v>48</v>
      </c>
      <c r="AE49" s="110"/>
      <c r="AF49" s="110"/>
      <c r="AG49" s="110"/>
    </row>
    <row r="50">
      <c r="A50" s="1"/>
      <c r="B50" s="1"/>
      <c r="C50" s="1"/>
      <c r="D50" s="1"/>
      <c r="E50" s="1"/>
      <c r="F50" s="1"/>
      <c r="G50" s="1"/>
      <c r="H50" s="71" t="s">
        <v>109</v>
      </c>
      <c r="I50" s="88" t="s">
        <v>279</v>
      </c>
      <c r="J50" s="89" t="s">
        <v>196</v>
      </c>
      <c r="K50" s="90">
        <f>If(C$20 = 0,  Ceiling(($C$19 / VLOOKUp(Concat("$", Concat(J50, ".Search")) ,U$4:AB$780, 4, false) * VLOOKUp(Concat("$", Concat(J50, ".Search")) ,U$4:AB$780, 8, false) / AZ),1) * AZ, 
    If(VLOOKUp(Concat("$", Concat(J50, ".Search")) ,U$4:AB$780, 5, false) = 0 , "N/A", 
        Max( 
             Ceiling(($C$20 / (VLOOKUp(Concat("$", Concat(J50, ".Search")) ,U$4:AB$780, 5, false) * VLOOKUp(Concat("$", Concat(J50, ".Search")) ,U$4:AB$780, 6, false)* (1 - DiskOverprovisioning))) / AZ,1) * AZ , 
             Ceiling(($C$19 / VLOOKUp(Concat("$", Concat(J50, ".Search")) ,U$4:AB$780, 4, false) / AZ),1) * AZ
           ) * VLOOKUp(Concat("$", Concat(J50, ".Search")) ,U$4:AB$780, 8, false)
     )
 )</f>
        <v>6657.6</v>
      </c>
      <c r="L50" s="1"/>
      <c r="M50" s="91" t="s">
        <v>109</v>
      </c>
      <c r="N50" s="92" t="s">
        <v>279</v>
      </c>
      <c r="O50" s="94" t="s">
        <v>279</v>
      </c>
      <c r="P50" s="94">
        <f t="shared" si="1"/>
        <v>7.96875</v>
      </c>
      <c r="Q50" s="89" t="s">
        <v>196</v>
      </c>
      <c r="R50" s="94">
        <f t="shared" si="2"/>
        <v>7.96875</v>
      </c>
      <c r="S50" s="92">
        <f t="shared" si="3"/>
        <v>18.86944667</v>
      </c>
      <c r="T50" s="1"/>
      <c r="U50" s="101" t="s">
        <v>266</v>
      </c>
      <c r="V50" s="91" t="s">
        <v>281</v>
      </c>
      <c r="W50" s="102">
        <v>96.0</v>
      </c>
      <c r="X50" s="102">
        <v>192.0</v>
      </c>
      <c r="Y50" s="102">
        <v>900.0</v>
      </c>
      <c r="Z50" s="103">
        <v>4.0</v>
      </c>
      <c r="AA50" s="104" t="s">
        <v>208</v>
      </c>
      <c r="AB50" s="105">
        <v>2119.19</v>
      </c>
      <c r="AC50" s="1"/>
      <c r="AD50" s="86">
        <f>if(Miscellaneous!E50*AWS!C$5&gt; 256, "", Miscellaneous!E50*AWS!C$5)</f>
        <v>49</v>
      </c>
      <c r="AE50" s="110"/>
      <c r="AF50" s="110"/>
      <c r="AG50" s="110"/>
    </row>
    <row r="51">
      <c r="A51" s="1"/>
      <c r="B51" s="1"/>
      <c r="C51" s="1"/>
      <c r="D51" s="1"/>
      <c r="E51" s="1"/>
      <c r="F51" s="1"/>
      <c r="G51" s="1"/>
      <c r="H51" s="71" t="s">
        <v>116</v>
      </c>
      <c r="I51" s="88" t="s">
        <v>279</v>
      </c>
      <c r="J51" s="89" t="s">
        <v>203</v>
      </c>
      <c r="K51" s="90">
        <f>If(C$20 = 0,  Ceiling(($C$19 / VLOOKUp(Concat("$", Concat(J51, ".Search")) ,U$4:AB$780, 4, false) * VLOOKUp(Concat("$", Concat(J51, ".Search")) ,U$4:AB$780, 8, false) / AZ),1) * AZ, 
    If(VLOOKUp(Concat("$", Concat(J51, ".Search")) ,U$4:AB$780, 5, false) = 0 , "N/A", 
        Max( 
             Ceiling(($C$20 / (VLOOKUp(Concat("$", Concat(J51, ".Search")) ,U$4:AB$780, 5, false) * VLOOKUp(Concat("$", Concat(J51, ".Search")) ,U$4:AB$780, 6, false)* (1 - DiskOverprovisioning))) / AZ,1) * AZ , 
             Ceiling(($C$19 / VLOOKUp(Concat("$", Concat(J51, ".Search")) ,U$4:AB$780, 4, false) / AZ),1) * AZ
           ) * VLOOKUp(Concat("$", Concat(J51, ".Search")) ,U$4:AB$780, 8, false)
     )
 )</f>
        <v>8000.8</v>
      </c>
      <c r="L51" s="1"/>
      <c r="M51" s="91" t="s">
        <v>116</v>
      </c>
      <c r="N51" s="92" t="s">
        <v>279</v>
      </c>
      <c r="O51" s="94" t="s">
        <v>279</v>
      </c>
      <c r="P51" s="94">
        <f t="shared" si="1"/>
        <v>7.96875</v>
      </c>
      <c r="Q51" s="89" t="s">
        <v>203</v>
      </c>
      <c r="R51" s="94">
        <f t="shared" si="2"/>
        <v>7.96875</v>
      </c>
      <c r="S51" s="92">
        <f t="shared" si="3"/>
        <v>18.86944667</v>
      </c>
      <c r="T51" s="1"/>
      <c r="U51" s="101" t="s">
        <v>282</v>
      </c>
      <c r="V51" s="91" t="s">
        <v>283</v>
      </c>
      <c r="W51" s="102">
        <v>2.0</v>
      </c>
      <c r="X51" s="102">
        <v>5.25</v>
      </c>
      <c r="Y51" s="102">
        <v>0.0</v>
      </c>
      <c r="Z51" s="103">
        <v>0.0</v>
      </c>
      <c r="AA51" s="104" t="s">
        <v>284</v>
      </c>
      <c r="AB51" s="105">
        <v>49.64</v>
      </c>
      <c r="AC51" s="1"/>
      <c r="AD51" s="86">
        <f>if(Miscellaneous!E51*AWS!C$5&gt; 256, "", Miscellaneous!E51*AWS!C$5)</f>
        <v>50</v>
      </c>
      <c r="AE51" s="110"/>
      <c r="AF51" s="110"/>
      <c r="AG51" s="110"/>
    </row>
    <row r="52">
      <c r="A52" s="1"/>
      <c r="B52" s="1"/>
      <c r="C52" s="1"/>
      <c r="D52" s="1"/>
      <c r="E52" s="1"/>
      <c r="F52" s="1"/>
      <c r="G52" s="1"/>
      <c r="H52" s="71" t="s">
        <v>122</v>
      </c>
      <c r="I52" s="88" t="s">
        <v>279</v>
      </c>
      <c r="J52" s="89" t="s">
        <v>285</v>
      </c>
      <c r="K52" s="90" t="str">
        <f>If(C$20 = 0,  Ceiling(($C$19 / VLOOKUp(Concat("$", Concat(J52, ".Search")) ,U$4:AB$780, 4, false) * VLOOKUp(Concat("$", Concat(J52, ".Search")) ,U$4:AB$780, 8, false) / AZ),1) * AZ, 
    If(VLOOKUp(Concat("$", Concat(J52, ".Search")) ,U$4:AB$780, 5, false) = 0 , "N/A", 
        Max( 
             Ceiling(($C$20 / (VLOOKUp(Concat("$", Concat(J52, ".Search")) ,U$4:AB$780, 5, false) * VLOOKUp(Concat("$", Concat(J52, ".Search")) ,U$4:AB$780, 6, false)* (1 - DiskOverprovisioning))) / AZ,1) * AZ , 
             Ceiling(($C$19 / VLOOKUp(Concat("$", Concat(J52, ".Search")) ,U$4:AB$780, 4, false) / AZ),1) * AZ
           ) * VLOOKUp(Concat("$", Concat(J52, ".Search")) ,U$4:AB$780, 8, false)
     )
 )</f>
        <v>N/A</v>
      </c>
      <c r="L52" s="1"/>
      <c r="M52" s="91" t="s">
        <v>122</v>
      </c>
      <c r="N52" s="92" t="s">
        <v>279</v>
      </c>
      <c r="O52" s="94" t="s">
        <v>279</v>
      </c>
      <c r="P52" s="94">
        <f t="shared" si="1"/>
        <v>0</v>
      </c>
      <c r="Q52" s="89" t="s">
        <v>285</v>
      </c>
      <c r="R52" s="94" t="str">
        <f t="shared" si="2"/>
        <v>N/A</v>
      </c>
      <c r="S52" s="92" t="str">
        <f t="shared" si="3"/>
        <v>N/A</v>
      </c>
      <c r="T52" s="1"/>
      <c r="U52" s="101" t="s">
        <v>286</v>
      </c>
      <c r="V52" s="91" t="s">
        <v>287</v>
      </c>
      <c r="W52" s="102">
        <v>4.0</v>
      </c>
      <c r="X52" s="102">
        <v>10.5</v>
      </c>
      <c r="Y52" s="102">
        <v>0.0</v>
      </c>
      <c r="Z52" s="103">
        <v>0.0</v>
      </c>
      <c r="AA52" s="104" t="s">
        <v>284</v>
      </c>
      <c r="AB52" s="105">
        <v>99.28</v>
      </c>
      <c r="AC52" s="1"/>
      <c r="AD52" s="86">
        <f>if(Miscellaneous!E52*AWS!C$5&gt; 256, "", Miscellaneous!E52*AWS!C$5)</f>
        <v>51</v>
      </c>
      <c r="AE52" s="110"/>
      <c r="AF52" s="110"/>
      <c r="AG52" s="110"/>
    </row>
    <row r="53">
      <c r="A53" s="1"/>
      <c r="B53" s="1"/>
      <c r="C53" s="1"/>
      <c r="D53" s="1"/>
      <c r="E53" s="1"/>
      <c r="F53" s="1"/>
      <c r="G53" s="1"/>
      <c r="H53" s="71" t="s">
        <v>140</v>
      </c>
      <c r="I53" s="88" t="s">
        <v>279</v>
      </c>
      <c r="J53" s="89" t="s">
        <v>288</v>
      </c>
      <c r="K53" s="90" t="str">
        <f>If(C$20 = 0,  Ceiling(($C$19 / VLOOKUp(Concat("$", Concat(J53, ".Search")) ,U$4:AB$780, 4, false) * VLOOKUp(Concat("$", Concat(J53, ".Search")) ,U$4:AB$780, 8, false) / AZ),1) * AZ, 
    If(VLOOKUp(Concat("$", Concat(J53, ".Search")) ,U$4:AB$780, 5, false) = 0 , "N/A", 
        Max( 
             Ceiling(($C$20 / (VLOOKUp(Concat("$", Concat(J53, ".Search")) ,U$4:AB$780, 5, false) * VLOOKUp(Concat("$", Concat(J53, ".Search")) ,U$4:AB$780, 6, false)* (1 - DiskOverprovisioning))) / AZ,1) * AZ , 
             Ceiling(($C$19 / VLOOKUp(Concat("$", Concat(J53, ".Search")) ,U$4:AB$780, 4, false) / AZ),1) * AZ
           ) * VLOOKUp(Concat("$", Concat(J53, ".Search")) ,U$4:AB$780, 8, false)
     )
 )</f>
        <v>N/A</v>
      </c>
      <c r="L53" s="1"/>
      <c r="M53" s="91" t="s">
        <v>140</v>
      </c>
      <c r="N53" s="92" t="s">
        <v>279</v>
      </c>
      <c r="O53" s="94" t="s">
        <v>279</v>
      </c>
      <c r="P53" s="94">
        <f t="shared" si="1"/>
        <v>0</v>
      </c>
      <c r="Q53" s="89" t="s">
        <v>288</v>
      </c>
      <c r="R53" s="94" t="str">
        <f t="shared" si="2"/>
        <v>N/A</v>
      </c>
      <c r="S53" s="92" t="str">
        <f t="shared" si="3"/>
        <v>N/A</v>
      </c>
      <c r="T53" s="1"/>
      <c r="U53" s="101" t="s">
        <v>286</v>
      </c>
      <c r="V53" s="91" t="s">
        <v>289</v>
      </c>
      <c r="W53" s="102">
        <v>8.0</v>
      </c>
      <c r="X53" s="102">
        <v>21.0</v>
      </c>
      <c r="Y53" s="102">
        <v>0.0</v>
      </c>
      <c r="Z53" s="103">
        <v>0.0</v>
      </c>
      <c r="AA53" s="104" t="s">
        <v>284</v>
      </c>
      <c r="AB53" s="105">
        <v>198.56</v>
      </c>
      <c r="AC53" s="1"/>
      <c r="AD53" s="86">
        <f>if(Miscellaneous!E53*AWS!C$5&gt; 256, "", Miscellaneous!E53*AWS!C$5)</f>
        <v>52</v>
      </c>
      <c r="AE53" s="110"/>
      <c r="AF53" s="110"/>
      <c r="AG53" s="110"/>
    </row>
    <row r="54">
      <c r="A54" s="1"/>
      <c r="B54" s="1"/>
      <c r="C54" s="1"/>
      <c r="D54" s="1"/>
      <c r="E54" s="1"/>
      <c r="F54" s="1"/>
      <c r="G54" s="1"/>
      <c r="H54" s="71" t="s">
        <v>144</v>
      </c>
      <c r="I54" s="88" t="s">
        <v>279</v>
      </c>
      <c r="J54" s="89" t="s">
        <v>290</v>
      </c>
      <c r="K54" s="90" t="str">
        <f>If(C$20 = 0,  Ceiling(($C$19 / VLOOKUp(Concat("$", Concat(J54, ".Search")) ,U$4:AB$780, 4, false) * VLOOKUp(Concat("$", Concat(J54, ".Search")) ,U$4:AB$780, 8, false) / AZ),1) * AZ, 
    If(VLOOKUp(Concat("$", Concat(J54, ".Search")) ,U$4:AB$780, 5, false) = 0 , "N/A", 
        Max( 
             Ceiling(($C$20 / (VLOOKUp(Concat("$", Concat(J54, ".Search")) ,U$4:AB$780, 5, false) * VLOOKUp(Concat("$", Concat(J54, ".Search")) ,U$4:AB$780, 6, false)* (1 - DiskOverprovisioning))) / AZ,1) * AZ , 
             Ceiling(($C$19 / VLOOKUp(Concat("$", Concat(J54, ".Search")) ,U$4:AB$780, 4, false) / AZ),1) * AZ
           ) * VLOOKUp(Concat("$", Concat(J54, ".Search")) ,U$4:AB$780, 8, false)
     )
 )</f>
        <v>N/A</v>
      </c>
      <c r="L54" s="1"/>
      <c r="M54" s="91" t="s">
        <v>144</v>
      </c>
      <c r="N54" s="92" t="s">
        <v>279</v>
      </c>
      <c r="O54" s="94" t="s">
        <v>279</v>
      </c>
      <c r="P54" s="94">
        <f t="shared" si="1"/>
        <v>0</v>
      </c>
      <c r="Q54" s="89" t="s">
        <v>290</v>
      </c>
      <c r="R54" s="94" t="str">
        <f t="shared" si="2"/>
        <v>N/A</v>
      </c>
      <c r="S54" s="92" t="str">
        <f t="shared" si="3"/>
        <v>N/A</v>
      </c>
      <c r="T54" s="1"/>
      <c r="U54" s="101" t="s">
        <v>286</v>
      </c>
      <c r="V54" s="91" t="s">
        <v>291</v>
      </c>
      <c r="W54" s="102">
        <v>16.0</v>
      </c>
      <c r="X54" s="102">
        <v>42.0</v>
      </c>
      <c r="Y54" s="102">
        <v>0.0</v>
      </c>
      <c r="Z54" s="103">
        <v>0.0</v>
      </c>
      <c r="AA54" s="104" t="s">
        <v>284</v>
      </c>
      <c r="AB54" s="105">
        <v>397.12</v>
      </c>
      <c r="AC54" s="1"/>
      <c r="AD54" s="86">
        <f>if(Miscellaneous!E54*AWS!C$5&gt; 256, "", Miscellaneous!E54*AWS!C$5)</f>
        <v>53</v>
      </c>
      <c r="AE54" s="110"/>
      <c r="AF54" s="110"/>
      <c r="AG54" s="110"/>
    </row>
    <row r="55">
      <c r="A55" s="1"/>
      <c r="B55" s="1"/>
      <c r="C55" s="1"/>
      <c r="D55" s="1"/>
      <c r="E55" s="1"/>
      <c r="F55" s="1"/>
      <c r="G55" s="1"/>
      <c r="H55" s="71" t="s">
        <v>150</v>
      </c>
      <c r="I55" s="88" t="s">
        <v>279</v>
      </c>
      <c r="J55" s="89" t="s">
        <v>292</v>
      </c>
      <c r="K55" s="90" t="str">
        <f>If(C$20 = 0,  Ceiling(($C$19 / VLOOKUp(Concat("$", Concat(J55, ".Search")) ,U$4:AB$780, 4, false) * VLOOKUp(Concat("$", Concat(J55, ".Search")) ,U$4:AB$780, 8, false) / AZ),1) * AZ, 
    If(VLOOKUp(Concat("$", Concat(J55, ".Search")) ,U$4:AB$780, 5, false) = 0 , "N/A", 
        Max( 
             Ceiling(($C$20 / (VLOOKUp(Concat("$", Concat(J55, ".Search")) ,U$4:AB$780, 5, false) * VLOOKUp(Concat("$", Concat(J55, ".Search")) ,U$4:AB$780, 6, false)* (1 - DiskOverprovisioning))) / AZ,1) * AZ , 
             Ceiling(($C$19 / VLOOKUp(Concat("$", Concat(J55, ".Search")) ,U$4:AB$780, 4, false) / AZ),1) * AZ
           ) * VLOOKUp(Concat("$", Concat(J55, ".Search")) ,U$4:AB$780, 8, false)
     )
 )</f>
        <v>N/A</v>
      </c>
      <c r="L55" s="1"/>
      <c r="M55" s="91" t="s">
        <v>150</v>
      </c>
      <c r="N55" s="92" t="s">
        <v>279</v>
      </c>
      <c r="O55" s="94" t="s">
        <v>279</v>
      </c>
      <c r="P55" s="94">
        <f t="shared" si="1"/>
        <v>0</v>
      </c>
      <c r="Q55" s="89" t="s">
        <v>292</v>
      </c>
      <c r="R55" s="94" t="str">
        <f t="shared" si="2"/>
        <v>N/A</v>
      </c>
      <c r="S55" s="92" t="str">
        <f t="shared" si="3"/>
        <v>N/A</v>
      </c>
      <c r="T55" s="1"/>
      <c r="U55" s="101" t="s">
        <v>286</v>
      </c>
      <c r="V55" s="91" t="s">
        <v>293</v>
      </c>
      <c r="W55" s="102">
        <v>36.0</v>
      </c>
      <c r="X55" s="102">
        <v>96.0</v>
      </c>
      <c r="Y55" s="102">
        <v>0.0</v>
      </c>
      <c r="Z55" s="103">
        <v>0.0</v>
      </c>
      <c r="AA55" s="104" t="s">
        <v>294</v>
      </c>
      <c r="AB55" s="105">
        <v>894.25</v>
      </c>
      <c r="AC55" s="1"/>
      <c r="AD55" s="86">
        <f>if(Miscellaneous!E55*AWS!C$5&gt; 256, "", Miscellaneous!E55*AWS!C$5)</f>
        <v>54</v>
      </c>
      <c r="AE55" s="110"/>
      <c r="AF55" s="110"/>
      <c r="AG55" s="110"/>
    </row>
    <row r="56">
      <c r="A56" s="1"/>
      <c r="B56" s="1"/>
      <c r="C56" s="1"/>
      <c r="D56" s="1"/>
      <c r="E56" s="1"/>
      <c r="F56" s="1"/>
      <c r="G56" s="1"/>
      <c r="H56" s="71" t="s">
        <v>157</v>
      </c>
      <c r="I56" s="88" t="s">
        <v>279</v>
      </c>
      <c r="J56" s="89" t="s">
        <v>149</v>
      </c>
      <c r="K56" s="90">
        <f>If(C$20 = 0,  Ceiling(($C$19 / VLOOKUp(Concat("$", Concat(J56, ".Search")) ,U$4:AB$780, 4, false) * VLOOKUp(Concat("$", Concat(J56, ".Search")) ,U$4:AB$780, 8, false) / AZ),1) * AZ, 
    If(VLOOKUp(Concat("$", Concat(J56, ".Search")) ,U$4:AB$780, 5, false) = 0 , "N/A", 
        Max( 
             Ceiling(($C$20 / (VLOOKUp(Concat("$", Concat(J56, ".Search")) ,U$4:AB$780, 5, false) * VLOOKUp(Concat("$", Concat(J56, ".Search")) ,U$4:AB$780, 6, false)* (1 - DiskOverprovisioning))) / AZ,1) * AZ , 
             Ceiling(($C$19 / VLOOKUp(Concat("$", Concat(J56, ".Search")) ,U$4:AB$780, 4, false) / AZ),1) * AZ
           ) * VLOOKUp(Concat("$", Concat(J56, ".Search")) ,U$4:AB$780, 8, false)
     )
 )</f>
        <v>3325.9</v>
      </c>
      <c r="L56" s="1"/>
      <c r="M56" s="91" t="s">
        <v>157</v>
      </c>
      <c r="N56" s="92" t="s">
        <v>279</v>
      </c>
      <c r="O56" s="94" t="s">
        <v>279</v>
      </c>
      <c r="P56" s="94">
        <f t="shared" si="1"/>
        <v>12.6171875</v>
      </c>
      <c r="Q56" s="89" t="s">
        <v>149</v>
      </c>
      <c r="R56" s="94">
        <f t="shared" si="2"/>
        <v>12.6171875</v>
      </c>
      <c r="S56" s="92">
        <f t="shared" si="3"/>
        <v>14.22100917</v>
      </c>
      <c r="T56" s="1"/>
      <c r="U56" s="101" t="s">
        <v>286</v>
      </c>
      <c r="V56" s="91" t="s">
        <v>295</v>
      </c>
      <c r="W56" s="102">
        <v>72.0</v>
      </c>
      <c r="X56" s="102">
        <v>192.0</v>
      </c>
      <c r="Y56" s="102">
        <v>0.0</v>
      </c>
      <c r="Z56" s="103">
        <v>0.0</v>
      </c>
      <c r="AA56" s="104" t="s">
        <v>296</v>
      </c>
      <c r="AB56" s="105">
        <v>1787.77</v>
      </c>
      <c r="AC56" s="1"/>
      <c r="AD56" s="86">
        <f>if(Miscellaneous!E56*AWS!C$5&gt; 256, "", Miscellaneous!E56*AWS!C$5)</f>
        <v>55</v>
      </c>
      <c r="AE56" s="110"/>
      <c r="AF56" s="110"/>
      <c r="AG56" s="110"/>
    </row>
    <row r="57">
      <c r="A57" s="1"/>
      <c r="B57" s="1"/>
      <c r="C57" s="1"/>
      <c r="D57" s="1"/>
      <c r="E57" s="1"/>
      <c r="F57" s="1"/>
      <c r="G57" s="1"/>
      <c r="H57" s="71" t="s">
        <v>161</v>
      </c>
      <c r="I57" s="88" t="s">
        <v>279</v>
      </c>
      <c r="J57" s="1" t="s">
        <v>297</v>
      </c>
      <c r="K57" s="90" t="str">
        <f>If(C$20 = 0,  Ceiling(($C$19 / VLOOKUp(Concat("$", Concat(J57, ".Search")) ,U$4:AB$780, 4, false) * VLOOKUp(Concat("$", Concat(J57, ".Search")) ,U$4:AB$780, 8, false) / AZ),1) * AZ, 
    If(VLOOKUp(Concat("$", Concat(J57, ".Search")) ,U$4:AB$780, 5, false) = 0 , "N/A", 
        Max( 
             Ceiling(($C$20 / (VLOOKUp(Concat("$", Concat(J57, ".Search")) ,U$4:AB$780, 5, false) * VLOOKUp(Concat("$", Concat(J57, ".Search")) ,U$4:AB$780, 6, false)* (1 - DiskOverprovisioning))) / AZ,1) * AZ , 
             Ceiling(($C$19 / VLOOKUp(Concat("$", Concat(J57, ".Search")) ,U$4:AB$780, 4, false) / AZ),1) * AZ
           ) * VLOOKUp(Concat("$", Concat(J57, ".Search")) ,U$4:AB$780, 8, false)
     )
 )</f>
        <v>N/A</v>
      </c>
      <c r="L57" s="1"/>
      <c r="M57" s="91" t="s">
        <v>161</v>
      </c>
      <c r="N57" s="92" t="s">
        <v>279</v>
      </c>
      <c r="O57" s="94" t="s">
        <v>279</v>
      </c>
      <c r="P57" s="94">
        <f t="shared" si="1"/>
        <v>0</v>
      </c>
      <c r="Q57" s="1" t="s">
        <v>297</v>
      </c>
      <c r="R57" s="94" t="str">
        <f t="shared" si="2"/>
        <v>N/A</v>
      </c>
      <c r="S57" s="92" t="str">
        <f t="shared" si="3"/>
        <v>N/A</v>
      </c>
      <c r="T57" s="1"/>
      <c r="U57" s="101" t="s">
        <v>298</v>
      </c>
      <c r="V57" s="91" t="s">
        <v>299</v>
      </c>
      <c r="W57" s="102">
        <v>2.0</v>
      </c>
      <c r="X57" s="102">
        <v>4.0</v>
      </c>
      <c r="Y57" s="102">
        <v>0.0</v>
      </c>
      <c r="Z57" s="103">
        <v>0.0</v>
      </c>
      <c r="AA57" s="104" t="s">
        <v>300</v>
      </c>
      <c r="AB57" s="105">
        <v>36.94</v>
      </c>
      <c r="AC57" s="1"/>
      <c r="AD57" s="86">
        <f>if(Miscellaneous!E57*AWS!C$5&gt; 256, "", Miscellaneous!E57*AWS!C$5)</f>
        <v>56</v>
      </c>
      <c r="AE57" s="110"/>
      <c r="AF57" s="110"/>
      <c r="AG57" s="110"/>
    </row>
    <row r="58">
      <c r="A58" s="1"/>
      <c r="B58" s="1"/>
      <c r="C58" s="1"/>
      <c r="D58" s="1"/>
      <c r="E58" s="1"/>
      <c r="F58" s="1"/>
      <c r="G58" s="1"/>
      <c r="H58" s="71" t="s">
        <v>170</v>
      </c>
      <c r="I58" s="88" t="s">
        <v>279</v>
      </c>
      <c r="J58" s="1" t="s">
        <v>162</v>
      </c>
      <c r="K58" s="90">
        <f>If(C$20 = 0,  Ceiling(($C$19 / VLOOKUp(Concat("$", Concat(J58, ".Search")) ,U$4:AB$780, 4, false) * VLOOKUp(Concat("$", Concat(J58, ".Search")) ,U$4:AB$780, 8, false) / AZ),1) * AZ, 
    If(VLOOKUp(Concat("$", Concat(J58, ".Search")) ,U$4:AB$780, 5, false) = 0 , "N/A", 
        Max( 
             Ceiling(($C$20 / (VLOOKUp(Concat("$", Concat(J58, ".Search")) ,U$4:AB$780, 5, false) * VLOOKUp(Concat("$", Concat(J58, ".Search")) ,U$4:AB$780, 6, false)* (1 - DiskOverprovisioning))) / AZ,1) * AZ , 
             Ceiling(($C$19 / VLOOKUp(Concat("$", Concat(J58, ".Search")) ,U$4:AB$780, 4, false) / AZ),1) * AZ
           ) * VLOOKUp(Concat("$", Concat(J58, ".Search")) ,U$4:AB$780, 8, false)
     )
 )</f>
        <v>4365.4</v>
      </c>
      <c r="L58" s="1"/>
      <c r="M58" s="91" t="s">
        <v>170</v>
      </c>
      <c r="N58" s="92" t="s">
        <v>279</v>
      </c>
      <c r="O58" s="94" t="s">
        <v>279</v>
      </c>
      <c r="P58" s="94">
        <f t="shared" si="1"/>
        <v>12.6171875</v>
      </c>
      <c r="Q58" s="1" t="s">
        <v>162</v>
      </c>
      <c r="R58" s="94">
        <f t="shared" si="2"/>
        <v>12.6171875</v>
      </c>
      <c r="S58" s="92">
        <f t="shared" si="3"/>
        <v>14.22100917</v>
      </c>
      <c r="T58" s="1"/>
      <c r="U58" s="101" t="s">
        <v>301</v>
      </c>
      <c r="V58" s="91" t="s">
        <v>302</v>
      </c>
      <c r="W58" s="102">
        <v>4.0</v>
      </c>
      <c r="X58" s="102">
        <v>8.0</v>
      </c>
      <c r="Y58" s="102">
        <v>0.0</v>
      </c>
      <c r="Z58" s="103">
        <v>0.0</v>
      </c>
      <c r="AA58" s="104" t="s">
        <v>300</v>
      </c>
      <c r="AB58" s="105">
        <v>73.88</v>
      </c>
      <c r="AC58" s="1"/>
      <c r="AD58" s="86">
        <f>if(Miscellaneous!E58*AWS!C$5&gt; 256, "", Miscellaneous!E58*AWS!C$5)</f>
        <v>57</v>
      </c>
      <c r="AE58" s="110"/>
      <c r="AF58" s="110"/>
      <c r="AG58" s="110"/>
    </row>
    <row r="59">
      <c r="A59" s="1"/>
      <c r="B59" s="1"/>
      <c r="C59" s="1"/>
      <c r="D59" s="1"/>
      <c r="E59" s="1"/>
      <c r="F59" s="1"/>
      <c r="G59" s="1"/>
      <c r="H59" s="71" t="s">
        <v>175</v>
      </c>
      <c r="I59" s="88" t="s">
        <v>279</v>
      </c>
      <c r="J59" s="1" t="s">
        <v>165</v>
      </c>
      <c r="K59" s="90">
        <f>If(C$20 = 0,  Ceiling(($C$19 / VLOOKUp(Concat("$", Concat(J59, ".Search")) ,U$4:AB$780, 4, false) * VLOOKUp(Concat("$", Concat(J59, ".Search")) ,U$4:AB$780, 8, false) / AZ),1) * AZ, 
    If(VLOOKUp(Concat("$", Concat(J59, ".Search")) ,U$4:AB$780, 5, false) = 0 , "N/A", 
        Max( 
             Ceiling(($C$20 / (VLOOKUp(Concat("$", Concat(J59, ".Search")) ,U$4:AB$780, 5, false) * VLOOKUp(Concat("$", Concat(J59, ".Search")) ,U$4:AB$780, 6, false)* (1 - DiskOverprovisioning))) / AZ,1) * AZ , 
             Ceiling(($C$19 / VLOOKUp(Concat("$", Concat(J59, ".Search")) ,U$4:AB$780, 4, false) / AZ),1) * AZ
           ) * VLOOKUp(Concat("$", Concat(J59, ".Search")) ,U$4:AB$780, 8, false)
     )
 )</f>
        <v>5854.3</v>
      </c>
      <c r="L59" s="1"/>
      <c r="M59" s="91" t="s">
        <v>175</v>
      </c>
      <c r="N59" s="92" t="s">
        <v>279</v>
      </c>
      <c r="O59" s="94" t="s">
        <v>279</v>
      </c>
      <c r="P59" s="94">
        <f t="shared" si="1"/>
        <v>12.6171875</v>
      </c>
      <c r="Q59" s="1" t="s">
        <v>165</v>
      </c>
      <c r="R59" s="94">
        <f t="shared" si="2"/>
        <v>12.6171875</v>
      </c>
      <c r="S59" s="92">
        <f t="shared" si="3"/>
        <v>14.22100917</v>
      </c>
      <c r="T59" s="1"/>
      <c r="U59" s="101" t="s">
        <v>301</v>
      </c>
      <c r="V59" s="91" t="s">
        <v>303</v>
      </c>
      <c r="W59" s="102">
        <v>8.0</v>
      </c>
      <c r="X59" s="102">
        <v>16.0</v>
      </c>
      <c r="Y59" s="102">
        <v>0.0</v>
      </c>
      <c r="Z59" s="103">
        <v>0.0</v>
      </c>
      <c r="AA59" s="104" t="s">
        <v>300</v>
      </c>
      <c r="AB59" s="105">
        <v>147.77</v>
      </c>
      <c r="AC59" s="1"/>
      <c r="AD59" s="86">
        <f>if(Miscellaneous!E59*AWS!C$5&gt; 256, "", Miscellaneous!E59*AWS!C$5)</f>
        <v>58</v>
      </c>
      <c r="AE59" s="110"/>
      <c r="AF59" s="110"/>
      <c r="AG59" s="110"/>
    </row>
    <row r="60">
      <c r="A60" s="1"/>
      <c r="B60" s="1"/>
      <c r="C60" s="1"/>
      <c r="D60" s="1"/>
      <c r="E60" s="1"/>
      <c r="F60" s="1"/>
      <c r="G60" s="1"/>
      <c r="H60" s="71" t="s">
        <v>179</v>
      </c>
      <c r="I60" s="88" t="s">
        <v>279</v>
      </c>
      <c r="J60" s="1" t="s">
        <v>304</v>
      </c>
      <c r="K60" s="90" t="str">
        <f>If(C$20 = 0,  Ceiling(($C$19 / VLOOKUp(Concat("$", Concat(J60, ".Search")) ,U$4:AB$780, 4, false) * VLOOKUp(Concat("$", Concat(J60, ".Search")) ,U$4:AB$780, 8, false) / AZ),1) * AZ, 
    If(VLOOKUp(Concat("$", Concat(J60, ".Search")) ,U$4:AB$780, 5, false) = 0 , "N/A", 
        Max( 
             Ceiling(($C$20 / (VLOOKUp(Concat("$", Concat(J60, ".Search")) ,U$4:AB$780, 5, false) * VLOOKUp(Concat("$", Concat(J60, ".Search")) ,U$4:AB$780, 6, false)* (1 - DiskOverprovisioning))) / AZ,1) * AZ , 
             Ceiling(($C$19 / VLOOKUp(Concat("$", Concat(J60, ".Search")) ,U$4:AB$780, 4, false) / AZ),1) * AZ
           ) * VLOOKUp(Concat("$", Concat(J60, ".Search")) ,U$4:AB$780, 8, false)
     )
 )</f>
        <v>N/A</v>
      </c>
      <c r="L60" s="1"/>
      <c r="M60" s="91" t="s">
        <v>179</v>
      </c>
      <c r="N60" s="92" t="s">
        <v>279</v>
      </c>
      <c r="O60" s="94" t="s">
        <v>279</v>
      </c>
      <c r="P60" s="94">
        <f t="shared" si="1"/>
        <v>0</v>
      </c>
      <c r="Q60" s="1" t="s">
        <v>304</v>
      </c>
      <c r="R60" s="94" t="str">
        <f t="shared" si="2"/>
        <v>N/A</v>
      </c>
      <c r="S60" s="92" t="str">
        <f t="shared" si="3"/>
        <v>N/A</v>
      </c>
      <c r="T60" s="1"/>
      <c r="U60" s="101" t="s">
        <v>301</v>
      </c>
      <c r="V60" s="91" t="s">
        <v>305</v>
      </c>
      <c r="W60" s="102">
        <v>16.0</v>
      </c>
      <c r="X60" s="102">
        <v>32.0</v>
      </c>
      <c r="Y60" s="102">
        <v>0.0</v>
      </c>
      <c r="Z60" s="103">
        <v>0.0</v>
      </c>
      <c r="AA60" s="104" t="s">
        <v>300</v>
      </c>
      <c r="AB60" s="105">
        <v>295.53</v>
      </c>
      <c r="AC60" s="1"/>
      <c r="AD60" s="86">
        <f>if(Miscellaneous!E60*AWS!C$5&gt; 256, "", Miscellaneous!E60*AWS!C$5)</f>
        <v>59</v>
      </c>
      <c r="AE60" s="110"/>
      <c r="AF60" s="110"/>
      <c r="AG60" s="110"/>
    </row>
    <row r="61">
      <c r="A61" s="1"/>
      <c r="B61" s="1"/>
      <c r="C61" s="1"/>
      <c r="D61" s="1"/>
      <c r="E61" s="1"/>
      <c r="F61" s="1"/>
      <c r="G61" s="1"/>
      <c r="H61" s="71" t="s">
        <v>186</v>
      </c>
      <c r="I61" s="88" t="s">
        <v>279</v>
      </c>
      <c r="J61" s="1" t="s">
        <v>306</v>
      </c>
      <c r="K61" s="90" t="str">
        <f>If(C$20 = 0,  Ceiling(($C$19 / VLOOKUp(Concat("$", Concat(J61, ".Search")) ,U$4:AB$780, 4, false) * VLOOKUp(Concat("$", Concat(J61, ".Search")) ,U$4:AB$780, 8, false) / AZ),1) * AZ, 
    If(VLOOKUp(Concat("$", Concat(J61, ".Search")) ,U$4:AB$780, 5, false) = 0 , "N/A", 
        Max( 
             Ceiling(($C$20 / (VLOOKUp(Concat("$", Concat(J61, ".Search")) ,U$4:AB$780, 5, false) * VLOOKUp(Concat("$", Concat(J61, ".Search")) ,U$4:AB$780, 6, false)* (1 - DiskOverprovisioning))) / AZ,1) * AZ , 
             Ceiling(($C$19 / VLOOKUp(Concat("$", Concat(J61, ".Search")) ,U$4:AB$780, 4, false) / AZ),1) * AZ
           ) * VLOOKUp(Concat("$", Concat(J61, ".Search")) ,U$4:AB$780, 8, false)
     )
 )</f>
        <v>N/A</v>
      </c>
      <c r="L61" s="1"/>
      <c r="M61" s="91" t="s">
        <v>186</v>
      </c>
      <c r="N61" s="92" t="s">
        <v>279</v>
      </c>
      <c r="O61" s="94" t="s">
        <v>279</v>
      </c>
      <c r="P61" s="94">
        <f t="shared" si="1"/>
        <v>0</v>
      </c>
      <c r="Q61" s="1" t="s">
        <v>306</v>
      </c>
      <c r="R61" s="94" t="str">
        <f t="shared" si="2"/>
        <v>N/A</v>
      </c>
      <c r="S61" s="92" t="str">
        <f t="shared" si="3"/>
        <v>N/A</v>
      </c>
      <c r="T61" s="1"/>
      <c r="U61" s="101" t="s">
        <v>301</v>
      </c>
      <c r="V61" s="91" t="s">
        <v>307</v>
      </c>
      <c r="W61" s="102">
        <v>32.0</v>
      </c>
      <c r="X61" s="102">
        <v>64.0</v>
      </c>
      <c r="Y61" s="102">
        <v>0.0</v>
      </c>
      <c r="Z61" s="103">
        <v>0.0</v>
      </c>
      <c r="AA61" s="104" t="s">
        <v>308</v>
      </c>
      <c r="AB61" s="105">
        <v>591.07</v>
      </c>
      <c r="AC61" s="1"/>
      <c r="AD61" s="86">
        <f>if(Miscellaneous!E61*AWS!C$5&gt; 256, "", Miscellaneous!E61*AWS!C$5)</f>
        <v>60</v>
      </c>
      <c r="AE61" s="110"/>
      <c r="AF61" s="110"/>
      <c r="AG61" s="110"/>
    </row>
    <row r="62">
      <c r="A62" s="1"/>
      <c r="B62" s="1"/>
      <c r="C62" s="1"/>
      <c r="D62" s="1"/>
      <c r="E62" s="1"/>
      <c r="F62" s="1"/>
      <c r="G62" s="1"/>
      <c r="H62" s="71" t="s">
        <v>190</v>
      </c>
      <c r="I62" s="88" t="s">
        <v>279</v>
      </c>
      <c r="J62" s="1" t="s">
        <v>309</v>
      </c>
      <c r="K62" s="90" t="str">
        <f>If(C$20 = 0,  Ceiling(($C$19 / VLOOKUp(Concat("$", Concat(J62, ".Search")) ,U$4:AB$780, 4, false) * VLOOKUp(Concat("$", Concat(J62, ".Search")) ,U$4:AB$780, 8, false) / AZ),1) * AZ, 
    If(VLOOKUp(Concat("$", Concat(J62, ".Search")) ,U$4:AB$780, 5, false) = 0 , "N/A", 
        Max( 
             Ceiling(($C$20 / (VLOOKUp(Concat("$", Concat(J62, ".Search")) ,U$4:AB$780, 5, false) * VLOOKUp(Concat("$", Concat(J62, ".Search")) ,U$4:AB$780, 6, false)* (1 - DiskOverprovisioning))) / AZ,1) * AZ , 
             Ceiling(($C$19 / VLOOKUp(Concat("$", Concat(J62, ".Search")) ,U$4:AB$780, 4, false) / AZ),1) * AZ
           ) * VLOOKUp(Concat("$", Concat(J62, ".Search")) ,U$4:AB$780, 8, false)
     )
 )</f>
        <v>N/A</v>
      </c>
      <c r="L62" s="1"/>
      <c r="M62" s="91" t="s">
        <v>190</v>
      </c>
      <c r="N62" s="92" t="s">
        <v>279</v>
      </c>
      <c r="O62" s="94" t="s">
        <v>279</v>
      </c>
      <c r="P62" s="94">
        <f t="shared" si="1"/>
        <v>0</v>
      </c>
      <c r="Q62" s="1" t="s">
        <v>309</v>
      </c>
      <c r="R62" s="94" t="str">
        <f t="shared" si="2"/>
        <v>N/A</v>
      </c>
      <c r="S62" s="92" t="str">
        <f t="shared" si="3"/>
        <v>N/A</v>
      </c>
      <c r="T62" s="1"/>
      <c r="U62" s="101" t="s">
        <v>301</v>
      </c>
      <c r="V62" s="91" t="s">
        <v>310</v>
      </c>
      <c r="W62" s="102">
        <v>48.0</v>
      </c>
      <c r="X62" s="102">
        <v>96.0</v>
      </c>
      <c r="Y62" s="102">
        <v>0.0</v>
      </c>
      <c r="Z62" s="103">
        <v>0.0</v>
      </c>
      <c r="AA62" s="104" t="s">
        <v>311</v>
      </c>
      <c r="AB62" s="105">
        <v>886.59</v>
      </c>
      <c r="AC62" s="1"/>
      <c r="AD62" s="86">
        <f>if(Miscellaneous!E62*AWS!C$5&gt; 256, "", Miscellaneous!E62*AWS!C$5)</f>
        <v>61</v>
      </c>
      <c r="AE62" s="110"/>
      <c r="AF62" s="110"/>
      <c r="AG62" s="110"/>
    </row>
    <row r="63">
      <c r="A63" s="1"/>
      <c r="B63" s="1"/>
      <c r="C63" s="1"/>
      <c r="D63" s="1"/>
      <c r="E63" s="1"/>
      <c r="F63" s="1"/>
      <c r="G63" s="1"/>
      <c r="H63" s="71" t="s">
        <v>195</v>
      </c>
      <c r="I63" s="88" t="s">
        <v>279</v>
      </c>
      <c r="J63" s="1" t="s">
        <v>169</v>
      </c>
      <c r="K63" s="90">
        <f>If(C$20 = 0,  Ceiling(($C$19 / VLOOKUp(Concat("$", Concat(J63, ".Search")) ,U$4:AB$780, 4, false) * VLOOKUp(Concat("$", Concat(J63, ".Search")) ,U$4:AB$780, 8, false) / AZ),1) * AZ, 
    If(VLOOKUp(Concat("$", Concat(J63, ".Search")) ,U$4:AB$780, 5, false) = 0 , "N/A", 
        Max( 
             Ceiling(($C$20 / (VLOOKUp(Concat("$", Concat(J63, ".Search")) ,U$4:AB$780, 5, false) * VLOOKUp(Concat("$", Concat(J63, ".Search")) ,U$4:AB$780, 6, false)* (1 - DiskOverprovisioning))) / AZ,1) * AZ , 
             Ceiling(($C$19 / VLOOKUp(Concat("$", Concat(J63, ".Search")) ,U$4:AB$780, 4, false) / AZ),1) * AZ
           ) * VLOOKUp(Concat("$", Concat(J63, ".Search")) ,U$4:AB$780, 8, false)
     )
 )</f>
        <v>3928.9</v>
      </c>
      <c r="L63" s="1"/>
      <c r="M63" s="91" t="s">
        <v>195</v>
      </c>
      <c r="N63" s="92" t="s">
        <v>279</v>
      </c>
      <c r="O63" s="94" t="s">
        <v>279</v>
      </c>
      <c r="P63" s="94">
        <f t="shared" si="1"/>
        <v>12.6171875</v>
      </c>
      <c r="Q63" s="1" t="s">
        <v>169</v>
      </c>
      <c r="R63" s="94">
        <f t="shared" si="2"/>
        <v>12.6171875</v>
      </c>
      <c r="S63" s="92">
        <f t="shared" si="3"/>
        <v>14.22100917</v>
      </c>
      <c r="T63" s="1"/>
      <c r="U63" s="101" t="s">
        <v>301</v>
      </c>
      <c r="V63" s="91" t="s">
        <v>312</v>
      </c>
      <c r="W63" s="102">
        <v>64.0</v>
      </c>
      <c r="X63" s="102">
        <v>128.0</v>
      </c>
      <c r="Y63" s="102">
        <v>0.0</v>
      </c>
      <c r="Z63" s="103">
        <v>0.0</v>
      </c>
      <c r="AA63" s="104" t="s">
        <v>208</v>
      </c>
      <c r="AB63" s="105">
        <v>1182.13</v>
      </c>
      <c r="AC63" s="1"/>
      <c r="AD63" s="86">
        <f>if(Miscellaneous!E63*AWS!C$5&gt; 256, "", Miscellaneous!E63*AWS!C$5)</f>
        <v>62</v>
      </c>
      <c r="AE63" s="110"/>
      <c r="AF63" s="110"/>
      <c r="AG63" s="110"/>
    </row>
    <row r="64">
      <c r="A64" s="1"/>
      <c r="B64" s="1"/>
      <c r="C64" s="1"/>
      <c r="D64" s="1"/>
      <c r="E64" s="1"/>
      <c r="F64" s="1"/>
      <c r="G64" s="1"/>
      <c r="H64" s="71" t="s">
        <v>202</v>
      </c>
      <c r="I64" s="88" t="s">
        <v>279</v>
      </c>
      <c r="J64" s="1" t="s">
        <v>313</v>
      </c>
      <c r="K64" s="90" t="str">
        <f>If(C$20 = 0,  Ceiling(($C$19 / VLOOKUp(Concat("$", Concat(J64, ".Search")) ,U$4:AB$780, 4, false) * VLOOKUp(Concat("$", Concat(J64, ".Search")) ,U$4:AB$780, 8, false) / AZ),1) * AZ, 
    If(VLOOKUp(Concat("$", Concat(J64, ".Search")) ,U$4:AB$780, 5, false) = 0 , "N/A", 
        Max( 
             Ceiling(($C$20 / (VLOOKUp(Concat("$", Concat(J64, ".Search")) ,U$4:AB$780, 5, false) * VLOOKUp(Concat("$", Concat(J64, ".Search")) ,U$4:AB$780, 6, false)* (1 - DiskOverprovisioning))) / AZ,1) * AZ , 
             Ceiling(($C$19 / VLOOKUp(Concat("$", Concat(J64, ".Search")) ,U$4:AB$780, 4, false) / AZ),1) * AZ
           ) * VLOOKUp(Concat("$", Concat(J64, ".Search")) ,U$4:AB$780, 8, false)
     )
 )</f>
        <v>N/A</v>
      </c>
      <c r="L64" s="1"/>
      <c r="M64" s="91" t="s">
        <v>202</v>
      </c>
      <c r="N64" s="92" t="s">
        <v>279</v>
      </c>
      <c r="O64" s="94" t="s">
        <v>279</v>
      </c>
      <c r="P64" s="94">
        <f t="shared" si="1"/>
        <v>0</v>
      </c>
      <c r="Q64" s="1" t="s">
        <v>313</v>
      </c>
      <c r="R64" s="94" t="str">
        <f t="shared" si="2"/>
        <v>N/A</v>
      </c>
      <c r="S64" s="92" t="str">
        <f t="shared" si="3"/>
        <v>N/A</v>
      </c>
      <c r="T64" s="1"/>
      <c r="U64" s="101" t="s">
        <v>301</v>
      </c>
      <c r="V64" s="91" t="s">
        <v>314</v>
      </c>
      <c r="W64" s="102">
        <v>96.0</v>
      </c>
      <c r="X64" s="102">
        <v>192.0</v>
      </c>
      <c r="Y64" s="102">
        <v>0.0</v>
      </c>
      <c r="Z64" s="103">
        <v>0.0</v>
      </c>
      <c r="AA64" s="104" t="s">
        <v>315</v>
      </c>
      <c r="AB64" s="105">
        <v>1773.19</v>
      </c>
      <c r="AC64" s="1"/>
      <c r="AD64" s="86">
        <f>if(Miscellaneous!E64*AWS!C$5&gt; 256, "", Miscellaneous!E64*AWS!C$5)</f>
        <v>63</v>
      </c>
      <c r="AE64" s="110"/>
      <c r="AF64" s="110"/>
      <c r="AG64" s="110"/>
    </row>
    <row r="65">
      <c r="A65" s="1"/>
      <c r="B65" s="1"/>
      <c r="C65" s="1"/>
      <c r="D65" s="1"/>
      <c r="E65" s="1"/>
      <c r="F65" s="1"/>
      <c r="G65" s="1"/>
      <c r="H65" s="71" t="s">
        <v>220</v>
      </c>
      <c r="I65" s="88" t="s">
        <v>279</v>
      </c>
      <c r="J65" s="1" t="s">
        <v>316</v>
      </c>
      <c r="K65" s="90" t="str">
        <f>If(C$20 = 0,  Ceiling(($C$19 / VLOOKUp(Concat("$", Concat(J65, ".Search")) ,U$4:AB$780, 4, false) * VLOOKUp(Concat("$", Concat(J65, ".Search")) ,U$4:AB$780, 8, false) / AZ),1) * AZ, 
    If(VLOOKUp(Concat("$", Concat(J65, ".Search")) ,U$4:AB$780, 5, false) = 0 , "N/A", 
        Max( 
             Ceiling(($C$20 / (VLOOKUp(Concat("$", Concat(J65, ".Search")) ,U$4:AB$780, 5, false) * VLOOKUp(Concat("$", Concat(J65, ".Search")) ,U$4:AB$780, 6, false)* (1 - DiskOverprovisioning))) / AZ,1) * AZ , 
             Ceiling(($C$19 / VLOOKUp(Concat("$", Concat(J65, ".Search")) ,U$4:AB$780, 4, false) / AZ),1) * AZ
           ) * VLOOKUp(Concat("$", Concat(J65, ".Search")) ,U$4:AB$780, 8, false)
     )
 )</f>
        <v>N/A</v>
      </c>
      <c r="L65" s="1"/>
      <c r="M65" s="91" t="s">
        <v>220</v>
      </c>
      <c r="N65" s="92" t="s">
        <v>279</v>
      </c>
      <c r="O65" s="94" t="s">
        <v>279</v>
      </c>
      <c r="P65" s="94">
        <f t="shared" si="1"/>
        <v>0</v>
      </c>
      <c r="Q65" s="1" t="s">
        <v>316</v>
      </c>
      <c r="R65" s="94" t="str">
        <f t="shared" si="2"/>
        <v>N/A</v>
      </c>
      <c r="S65" s="92" t="str">
        <f t="shared" si="3"/>
        <v>N/A</v>
      </c>
      <c r="T65" s="1"/>
      <c r="U65" s="101" t="s">
        <v>301</v>
      </c>
      <c r="V65" s="91" t="s">
        <v>317</v>
      </c>
      <c r="W65" s="102">
        <v>128.0</v>
      </c>
      <c r="X65" s="102">
        <v>256.0</v>
      </c>
      <c r="Y65" s="102">
        <v>0.0</v>
      </c>
      <c r="Z65" s="103">
        <v>0.0</v>
      </c>
      <c r="AA65" s="104" t="s">
        <v>294</v>
      </c>
      <c r="AB65" s="105">
        <v>2364.25</v>
      </c>
      <c r="AC65" s="1"/>
      <c r="AD65" s="86">
        <f>if(Miscellaneous!E65*AWS!C$5&gt; 256, "", Miscellaneous!E65*AWS!C$5)</f>
        <v>64</v>
      </c>
      <c r="AE65" s="110"/>
      <c r="AF65" s="110"/>
      <c r="AG65" s="110"/>
    </row>
    <row r="66">
      <c r="A66" s="1"/>
      <c r="B66" s="1"/>
      <c r="C66" s="1"/>
      <c r="D66" s="1"/>
      <c r="E66" s="1"/>
      <c r="F66" s="1"/>
      <c r="G66" s="1"/>
      <c r="H66" s="71" t="s">
        <v>234</v>
      </c>
      <c r="I66" s="88" t="s">
        <v>279</v>
      </c>
      <c r="J66" s="1" t="s">
        <v>318</v>
      </c>
      <c r="K66" s="90" t="str">
        <f>If(C$20 = 0,  Ceiling(($C$19 / VLOOKUp(Concat("$", Concat(J66, ".Search")) ,U$4:AB$780, 4, false) * VLOOKUp(Concat("$", Concat(J66, ".Search")) ,U$4:AB$780, 8, false) / AZ),1) * AZ, 
    If(VLOOKUp(Concat("$", Concat(J66, ".Search")) ,U$4:AB$780, 5, false) = 0 , "N/A", 
        Max( 
             Ceiling(($C$20 / (VLOOKUp(Concat("$", Concat(J66, ".Search")) ,U$4:AB$780, 5, false) * VLOOKUp(Concat("$", Concat(J66, ".Search")) ,U$4:AB$780, 6, false)* (1 - DiskOverprovisioning))) / AZ,1) * AZ , 
             Ceiling(($C$19 / VLOOKUp(Concat("$", Concat(J66, ".Search")) ,U$4:AB$780, 4, false) / AZ),1) * AZ
           ) * VLOOKUp(Concat("$", Concat(J66, ".Search")) ,U$4:AB$780, 8, false)
     )
 )</f>
        <v>N/A</v>
      </c>
      <c r="L66" s="1"/>
      <c r="M66" s="91" t="s">
        <v>234</v>
      </c>
      <c r="N66" s="92" t="s">
        <v>279</v>
      </c>
      <c r="O66" s="94" t="s">
        <v>279</v>
      </c>
      <c r="P66" s="94">
        <f t="shared" si="1"/>
        <v>0</v>
      </c>
      <c r="Q66" s="1" t="s">
        <v>318</v>
      </c>
      <c r="R66" s="94" t="str">
        <f t="shared" si="2"/>
        <v>N/A</v>
      </c>
      <c r="S66" s="92" t="str">
        <f t="shared" si="3"/>
        <v>N/A</v>
      </c>
      <c r="T66" s="1"/>
      <c r="U66" s="101" t="s">
        <v>301</v>
      </c>
      <c r="V66" s="91" t="s">
        <v>319</v>
      </c>
      <c r="W66" s="102">
        <v>192.0</v>
      </c>
      <c r="X66" s="102">
        <v>384.0</v>
      </c>
      <c r="Y66" s="102">
        <v>0.0</v>
      </c>
      <c r="Z66" s="103">
        <v>0.0</v>
      </c>
      <c r="AA66" s="104" t="s">
        <v>294</v>
      </c>
      <c r="AB66" s="105">
        <v>3546.38</v>
      </c>
      <c r="AC66" s="1"/>
      <c r="AD66" s="86">
        <f>if(Miscellaneous!E66*AWS!C$5&gt; 256, "", Miscellaneous!E66*AWS!C$5)</f>
        <v>65</v>
      </c>
      <c r="AE66" s="110"/>
      <c r="AF66" s="110"/>
      <c r="AG66" s="110"/>
    </row>
    <row r="67">
      <c r="A67" s="1"/>
      <c r="B67" s="1"/>
      <c r="C67" s="1"/>
      <c r="D67" s="1"/>
      <c r="E67" s="1"/>
      <c r="F67" s="1"/>
      <c r="G67" s="1"/>
      <c r="H67" s="71" t="s">
        <v>261</v>
      </c>
      <c r="I67" s="88" t="s">
        <v>279</v>
      </c>
      <c r="J67" s="1" t="s">
        <v>176</v>
      </c>
      <c r="K67" s="90">
        <f>If(C$20 = 0,  Ceiling(($C$19 / VLOOKUp(Concat("$", Concat(J67, ".Search")) ,U$4:AB$780, 4, false) * VLOOKUp(Concat("$", Concat(J67, ".Search")) ,U$4:AB$780, 8, false) / AZ),1) * AZ, 
    If(VLOOKUp(Concat("$", Concat(J67, ".Search")) ,U$4:AB$780, 5, false) = 0 , "N/A", 
        Max( 
             Ceiling(($C$20 / (VLOOKUp(Concat("$", Concat(J67, ".Search")) ,U$4:AB$780, 5, false) * VLOOKUp(Concat("$", Concat(J67, ".Search")) ,U$4:AB$780, 6, false)* (1 - DiskOverprovisioning))) / AZ,1) * AZ , 
             Ceiling(($C$19 / VLOOKUp(Concat("$", Concat(J67, ".Search")) ,U$4:AB$780, 4, false) / AZ),1) * AZ
           ) * VLOOKUp(Concat("$", Concat(J67, ".Search")) ,U$4:AB$780, 8, false)
     )
 )</f>
        <v>4437.9</v>
      </c>
      <c r="L67" s="1"/>
      <c r="M67" s="91" t="s">
        <v>261</v>
      </c>
      <c r="N67" s="92" t="s">
        <v>279</v>
      </c>
      <c r="O67" s="94" t="s">
        <v>279</v>
      </c>
      <c r="P67" s="94">
        <f t="shared" si="1"/>
        <v>12.6171875</v>
      </c>
      <c r="Q67" s="1" t="s">
        <v>176</v>
      </c>
      <c r="R67" s="94">
        <f t="shared" si="2"/>
        <v>12.6171875</v>
      </c>
      <c r="S67" s="92">
        <f t="shared" si="3"/>
        <v>14.22100917</v>
      </c>
      <c r="T67" s="1"/>
      <c r="U67" s="101" t="s">
        <v>320</v>
      </c>
      <c r="V67" s="91" t="s">
        <v>321</v>
      </c>
      <c r="W67" s="102">
        <v>1.0</v>
      </c>
      <c r="X67" s="102">
        <v>2.0</v>
      </c>
      <c r="Y67" s="102">
        <v>0.0</v>
      </c>
      <c r="Z67" s="103">
        <v>0.0</v>
      </c>
      <c r="AA67" s="104" t="s">
        <v>105</v>
      </c>
      <c r="AB67" s="105">
        <v>15.62</v>
      </c>
      <c r="AC67" s="1"/>
      <c r="AD67" s="86">
        <f>if(Miscellaneous!E67*AWS!C$5&gt; 256, "", Miscellaneous!E67*AWS!C$5)</f>
        <v>66</v>
      </c>
      <c r="AE67" s="110"/>
      <c r="AF67" s="110"/>
      <c r="AG67" s="110"/>
    </row>
    <row r="68">
      <c r="A68" s="1"/>
      <c r="B68" s="1"/>
      <c r="C68" s="1"/>
      <c r="D68" s="1"/>
      <c r="E68" s="1"/>
      <c r="F68" s="1"/>
      <c r="G68" s="1"/>
      <c r="H68" s="71" t="s">
        <v>264</v>
      </c>
      <c r="I68" s="88" t="s">
        <v>279</v>
      </c>
      <c r="J68" s="1" t="s">
        <v>254</v>
      </c>
      <c r="K68" s="90">
        <f>If(C$20 = 0,  Ceiling(($C$19 / VLOOKUp(Concat("$", Concat(J68, ".Search")) ,U$4:AB$780, 4, false) * VLOOKUp(Concat("$", Concat(J68, ".Search")) ,U$4:AB$780, 8, false) / AZ),1) * AZ, 
    If(VLOOKUp(Concat("$", Concat(J68, ".Search")) ,U$4:AB$780, 5, false) = 0 , "N/A", 
        Max( 
             Ceiling(($C$20 / (VLOOKUp(Concat("$", Concat(J68, ".Search")) ,U$4:AB$780, 5, false) * VLOOKUp(Concat("$", Concat(J68, ".Search")) ,U$4:AB$780, 6, false)* (1 - DiskOverprovisioning))) / AZ,1) * AZ , 
             Ceiling(($C$19 / VLOOKUp(Concat("$", Concat(J68, ".Search")) ,U$4:AB$780, 4, false) / AZ),1) * AZ
           ) * VLOOKUp(Concat("$", Concat(J68, ".Search")) ,U$4:AB$780, 8, false)
     )
 )</f>
        <v>17392.98</v>
      </c>
      <c r="L68" s="1"/>
      <c r="M68" s="91" t="s">
        <v>264</v>
      </c>
      <c r="N68" s="92" t="s">
        <v>279</v>
      </c>
      <c r="O68" s="94" t="s">
        <v>279</v>
      </c>
      <c r="P68" s="94">
        <f t="shared" si="1"/>
        <v>2.229508197</v>
      </c>
      <c r="Q68" s="1" t="s">
        <v>254</v>
      </c>
      <c r="R68" s="94">
        <f t="shared" si="2"/>
        <v>2.229508197</v>
      </c>
      <c r="S68" s="92">
        <f t="shared" si="3"/>
        <v>24.60868847</v>
      </c>
      <c r="T68" s="1"/>
      <c r="U68" s="101" t="s">
        <v>322</v>
      </c>
      <c r="V68" s="91" t="s">
        <v>323</v>
      </c>
      <c r="W68" s="102">
        <v>2.0</v>
      </c>
      <c r="X68" s="102">
        <v>4.0</v>
      </c>
      <c r="Y68" s="102">
        <v>0.0</v>
      </c>
      <c r="Z68" s="103">
        <v>0.0</v>
      </c>
      <c r="AA68" s="104" t="s">
        <v>105</v>
      </c>
      <c r="AB68" s="105">
        <v>31.24</v>
      </c>
      <c r="AC68" s="1"/>
      <c r="AD68" s="86">
        <f>if(Miscellaneous!E68*AWS!C$5&gt; 256, "", Miscellaneous!E68*AWS!C$5)</f>
        <v>67</v>
      </c>
      <c r="AE68" s="110"/>
      <c r="AF68" s="110"/>
      <c r="AG68" s="110"/>
    </row>
    <row r="69">
      <c r="A69" s="1"/>
      <c r="B69" s="1"/>
      <c r="C69" s="1"/>
      <c r="D69" s="1"/>
      <c r="E69" s="1"/>
      <c r="F69" s="1"/>
      <c r="G69" s="1"/>
      <c r="H69" s="71" t="s">
        <v>272</v>
      </c>
      <c r="I69" s="88" t="s">
        <v>279</v>
      </c>
      <c r="J69" s="1" t="s">
        <v>324</v>
      </c>
      <c r="K69" s="90" t="str">
        <f>If(C$20 = 0,  Ceiling(($C$19 / VLOOKUp(Concat("$", Concat(J69, ".Search")) ,U$4:AB$780, 4, false) * VLOOKUp(Concat("$", Concat(J69, ".Search")) ,U$4:AB$780, 8, false) / AZ),1) * AZ, 
    If(VLOOKUp(Concat("$", Concat(J69, ".Search")) ,U$4:AB$780, 5, false) = 0 , "N/A", 
        Max( 
             Ceiling(($C$20 / (VLOOKUp(Concat("$", Concat(J69, ".Search")) ,U$4:AB$780, 5, false) * VLOOKUp(Concat("$", Concat(J69, ".Search")) ,U$4:AB$780, 6, false)* (1 - DiskOverprovisioning))) / AZ,1) * AZ , 
             Ceiling(($C$19 / VLOOKUp(Concat("$", Concat(J69, ".Search")) ,U$4:AB$780, 4, false) / AZ),1) * AZ
           ) * VLOOKUp(Concat("$", Concat(J69, ".Search")) ,U$4:AB$780, 8, false)
     )
 )</f>
        <v>N/A</v>
      </c>
      <c r="L69" s="1"/>
      <c r="M69" s="91" t="s">
        <v>272</v>
      </c>
      <c r="N69" s="92" t="s">
        <v>279</v>
      </c>
      <c r="O69" s="94" t="s">
        <v>279</v>
      </c>
      <c r="P69" s="94">
        <f t="shared" si="1"/>
        <v>0</v>
      </c>
      <c r="Q69" s="1" t="s">
        <v>324</v>
      </c>
      <c r="R69" s="94" t="str">
        <f t="shared" si="2"/>
        <v>N/A</v>
      </c>
      <c r="S69" s="92" t="str">
        <f t="shared" si="3"/>
        <v>N/A</v>
      </c>
      <c r="T69" s="1"/>
      <c r="U69" s="101" t="s">
        <v>322</v>
      </c>
      <c r="V69" s="91" t="s">
        <v>325</v>
      </c>
      <c r="W69" s="102">
        <v>4.0</v>
      </c>
      <c r="X69" s="102">
        <v>8.0</v>
      </c>
      <c r="Y69" s="102">
        <v>0.0</v>
      </c>
      <c r="Z69" s="103">
        <v>0.0</v>
      </c>
      <c r="AA69" s="104" t="s">
        <v>105</v>
      </c>
      <c r="AB69" s="105">
        <v>62.56</v>
      </c>
      <c r="AC69" s="1"/>
      <c r="AD69" s="86">
        <f>if(Miscellaneous!E69*AWS!C$5&gt; 256, "", Miscellaneous!E69*AWS!C$5)</f>
        <v>68</v>
      </c>
      <c r="AE69" s="110"/>
      <c r="AF69" s="110"/>
      <c r="AG69" s="110"/>
    </row>
    <row r="70">
      <c r="A70" s="1"/>
      <c r="B70" s="1"/>
      <c r="C70" s="1"/>
      <c r="D70" s="1"/>
      <c r="E70" s="1"/>
      <c r="F70" s="1"/>
      <c r="G70" s="1"/>
      <c r="H70" s="71" t="s">
        <v>274</v>
      </c>
      <c r="I70" s="88" t="s">
        <v>279</v>
      </c>
      <c r="J70" s="1" t="s">
        <v>326</v>
      </c>
      <c r="K70" s="90" t="str">
        <f>If(C$20 = 0,  Ceiling(($C$19 / VLOOKUp(Concat("$", Concat(J70, ".Search")) ,U$4:AB$780, 4, false) * VLOOKUp(Concat("$", Concat(J70, ".Search")) ,U$4:AB$780, 8, false) / AZ),1) * AZ, 
    If(VLOOKUp(Concat("$", Concat(J70, ".Search")) ,U$4:AB$780, 5, false) = 0 , "N/A", 
        Max( 
             Ceiling(($C$20 / (VLOOKUp(Concat("$", Concat(J70, ".Search")) ,U$4:AB$780, 5, false) * VLOOKUp(Concat("$", Concat(J70, ".Search")) ,U$4:AB$780, 6, false)* (1 - DiskOverprovisioning))) / AZ,1) * AZ , 
             Ceiling(($C$19 / VLOOKUp(Concat("$", Concat(J70, ".Search")) ,U$4:AB$780, 4, false) / AZ),1) * AZ
           ) * VLOOKUp(Concat("$", Concat(J70, ".Search")) ,U$4:AB$780, 8, false)
     )
 )</f>
        <v>N/A</v>
      </c>
      <c r="L70" s="1"/>
      <c r="M70" s="91" t="s">
        <v>274</v>
      </c>
      <c r="N70" s="92" t="s">
        <v>279</v>
      </c>
      <c r="O70" s="94" t="s">
        <v>279</v>
      </c>
      <c r="P70" s="94">
        <f t="shared" si="1"/>
        <v>0</v>
      </c>
      <c r="Q70" s="1" t="s">
        <v>326</v>
      </c>
      <c r="R70" s="94" t="str">
        <f t="shared" si="2"/>
        <v>N/A</v>
      </c>
      <c r="S70" s="92" t="str">
        <f t="shared" si="3"/>
        <v>N/A</v>
      </c>
      <c r="T70" s="1"/>
      <c r="U70" s="101" t="s">
        <v>322</v>
      </c>
      <c r="V70" s="91" t="s">
        <v>327</v>
      </c>
      <c r="W70" s="102">
        <v>8.0</v>
      </c>
      <c r="X70" s="102">
        <v>16.0</v>
      </c>
      <c r="Y70" s="102">
        <v>0.0</v>
      </c>
      <c r="Z70" s="103">
        <v>0.0</v>
      </c>
      <c r="AA70" s="104" t="s">
        <v>105</v>
      </c>
      <c r="AB70" s="105">
        <v>125.12</v>
      </c>
      <c r="AC70" s="1"/>
      <c r="AD70" s="86">
        <f>if(Miscellaneous!E70*AWS!C$5&gt; 256, "", Miscellaneous!E70*AWS!C$5)</f>
        <v>69</v>
      </c>
      <c r="AE70" s="110"/>
      <c r="AF70" s="110"/>
      <c r="AG70" s="110"/>
    </row>
    <row r="71">
      <c r="A71" s="1"/>
      <c r="B71" s="1"/>
      <c r="C71" s="1"/>
      <c r="D71" s="1"/>
      <c r="E71" s="1"/>
      <c r="F71" s="1"/>
      <c r="G71" s="1"/>
      <c r="H71" s="71" t="s">
        <v>277</v>
      </c>
      <c r="I71" s="88" t="s">
        <v>279</v>
      </c>
      <c r="J71" s="1" t="s">
        <v>328</v>
      </c>
      <c r="K71" s="90" t="str">
        <f>If(C$20 = 0,  Ceiling(($C$19 / VLOOKUp(Concat("$", Concat(J71, ".Search")) ,U$4:AB$780, 4, false) * VLOOKUp(Concat("$", Concat(J71, ".Search")) ,U$4:AB$780, 8, false) / AZ),1) * AZ, 
    If(VLOOKUp(Concat("$", Concat(J71, ".Search")) ,U$4:AB$780, 5, false) = 0 , "N/A", 
        Max( 
             Ceiling(($C$20 / (VLOOKUp(Concat("$", Concat(J71, ".Search")) ,U$4:AB$780, 5, false) * VLOOKUp(Concat("$", Concat(J71, ".Search")) ,U$4:AB$780, 6, false)* (1 - DiskOverprovisioning))) / AZ,1) * AZ , 
             Ceiling(($C$19 / VLOOKUp(Concat("$", Concat(J71, ".Search")) ,U$4:AB$780, 4, false) / AZ),1) * AZ
           ) * VLOOKUp(Concat("$", Concat(J71, ".Search")) ,U$4:AB$780, 8, false)
     )
 )</f>
        <v>N/A</v>
      </c>
      <c r="L71" s="1"/>
      <c r="M71" s="91" t="s">
        <v>277</v>
      </c>
      <c r="N71" s="92" t="s">
        <v>279</v>
      </c>
      <c r="O71" s="94" t="s">
        <v>279</v>
      </c>
      <c r="P71" s="94">
        <f t="shared" si="1"/>
        <v>0</v>
      </c>
      <c r="Q71" s="1" t="s">
        <v>328</v>
      </c>
      <c r="R71" s="94" t="str">
        <f t="shared" si="2"/>
        <v>N/A</v>
      </c>
      <c r="S71" s="92" t="str">
        <f t="shared" si="3"/>
        <v>N/A</v>
      </c>
      <c r="T71" s="1"/>
      <c r="U71" s="101" t="s">
        <v>322</v>
      </c>
      <c r="V71" s="91" t="s">
        <v>329</v>
      </c>
      <c r="W71" s="102">
        <v>16.0</v>
      </c>
      <c r="X71" s="102">
        <v>32.0</v>
      </c>
      <c r="Y71" s="102">
        <v>0.0</v>
      </c>
      <c r="Z71" s="103">
        <v>0.0</v>
      </c>
      <c r="AA71" s="104" t="s">
        <v>105</v>
      </c>
      <c r="AB71" s="105">
        <v>250.17</v>
      </c>
      <c r="AC71" s="1"/>
      <c r="AD71" s="86">
        <f>if(Miscellaneous!E71*AWS!C$5&gt; 256, "", Miscellaneous!E71*AWS!C$5)</f>
        <v>70</v>
      </c>
      <c r="AE71" s="110"/>
      <c r="AF71" s="110"/>
      <c r="AG71" s="110"/>
    </row>
    <row r="72">
      <c r="A72" s="1"/>
      <c r="B72" s="1"/>
      <c r="C72" s="1"/>
      <c r="D72" s="1"/>
      <c r="E72" s="1"/>
      <c r="F72" s="1"/>
      <c r="G72" s="1"/>
      <c r="H72" s="71" t="s">
        <v>285</v>
      </c>
      <c r="I72" s="88" t="s">
        <v>279</v>
      </c>
      <c r="J72" s="1" t="s">
        <v>226</v>
      </c>
      <c r="K72" s="90">
        <f>If(C$20 = 0,  Ceiling(($C$19 / VLOOKUp(Concat("$", Concat(J72, ".Search")) ,U$4:AB$780, 4, false) * VLOOKUp(Concat("$", Concat(J72, ".Search")) ,U$4:AB$780, 8, false) / AZ),1) * AZ, 
    If(VLOOKUp(Concat("$", Concat(J72, ".Search")) ,U$4:AB$780, 5, false) = 0 , "N/A", 
        Max( 
             Ceiling(($C$20 / (VLOOKUp(Concat("$", Concat(J72, ".Search")) ,U$4:AB$780, 5, false) * VLOOKUp(Concat("$", Concat(J72, ".Search")) ,U$4:AB$780, 6, false)* (1 - DiskOverprovisioning))) / AZ,1) * AZ , 
             Ceiling(($C$19 / VLOOKUp(Concat("$", Concat(J72, ".Search")) ,U$4:AB$780, 4, false) / AZ),1) * AZ
           ) * VLOOKUp(Concat("$", Concat(J72, ".Search")) ,U$4:AB$780, 8, false)
     )
 )</f>
        <v>7708.8</v>
      </c>
      <c r="L72" s="1"/>
      <c r="M72" s="91" t="s">
        <v>285</v>
      </c>
      <c r="N72" s="92" t="s">
        <v>279</v>
      </c>
      <c r="O72" s="94" t="s">
        <v>279</v>
      </c>
      <c r="P72" s="94">
        <f t="shared" si="1"/>
        <v>3.984375</v>
      </c>
      <c r="Q72" s="1" t="s">
        <v>226</v>
      </c>
      <c r="R72" s="94">
        <f t="shared" si="2"/>
        <v>3.984375</v>
      </c>
      <c r="S72" s="92">
        <f t="shared" si="3"/>
        <v>22.85382167</v>
      </c>
      <c r="T72" s="1"/>
      <c r="U72" s="101" t="s">
        <v>322</v>
      </c>
      <c r="V72" s="91" t="s">
        <v>330</v>
      </c>
      <c r="W72" s="102">
        <v>32.0</v>
      </c>
      <c r="X72" s="102">
        <v>64.0</v>
      </c>
      <c r="Y72" s="102">
        <v>0.0</v>
      </c>
      <c r="Z72" s="103">
        <v>0.0</v>
      </c>
      <c r="AA72" s="104" t="s">
        <v>198</v>
      </c>
      <c r="AB72" s="105">
        <v>500.34</v>
      </c>
      <c r="AC72" s="1"/>
      <c r="AD72" s="86">
        <f>if(Miscellaneous!E72*AWS!C$5&gt; 256, "", Miscellaneous!E72*AWS!C$5)</f>
        <v>71</v>
      </c>
      <c r="AE72" s="110"/>
      <c r="AF72" s="110"/>
      <c r="AG72" s="110"/>
    </row>
    <row r="73">
      <c r="A73" s="1"/>
      <c r="B73" s="1"/>
      <c r="C73" s="1"/>
      <c r="D73" s="1"/>
      <c r="E73" s="1"/>
      <c r="F73" s="1"/>
      <c r="G73" s="1"/>
      <c r="H73" s="71" t="s">
        <v>288</v>
      </c>
      <c r="I73" s="88" t="s">
        <v>279</v>
      </c>
      <c r="J73" s="1" t="s">
        <v>331</v>
      </c>
      <c r="K73" s="90" t="str">
        <f>If(C$20 = 0,  Ceiling(($C$19 / VLOOKUp(Concat("$", Concat(J73, ".Search")) ,U$4:AB$780, 4, false) * VLOOKUp(Concat("$", Concat(J73, ".Search")) ,U$4:AB$780, 8, false) / AZ),1) * AZ, 
    If(VLOOKUp(Concat("$", Concat(J73, ".Search")) ,U$4:AB$780, 5, false) = 0 , "N/A", 
        Max( 
             Ceiling(($C$20 / (VLOOKUp(Concat("$", Concat(J73, ".Search")) ,U$4:AB$780, 5, false) * VLOOKUp(Concat("$", Concat(J73, ".Search")) ,U$4:AB$780, 6, false)* (1 - DiskOverprovisioning))) / AZ,1) * AZ , 
             Ceiling(($C$19 / VLOOKUp(Concat("$", Concat(J73, ".Search")) ,U$4:AB$780, 4, false) / AZ),1) * AZ
           ) * VLOOKUp(Concat("$", Concat(J73, ".Search")) ,U$4:AB$780, 8, false)
     )
 )</f>
        <v>N/A</v>
      </c>
      <c r="L73" s="1"/>
      <c r="M73" s="91" t="s">
        <v>288</v>
      </c>
      <c r="N73" s="92" t="s">
        <v>279</v>
      </c>
      <c r="O73" s="94" t="s">
        <v>279</v>
      </c>
      <c r="P73" s="94">
        <f t="shared" si="1"/>
        <v>0</v>
      </c>
      <c r="Q73" s="1" t="s">
        <v>331</v>
      </c>
      <c r="R73" s="94" t="str">
        <f t="shared" si="2"/>
        <v>N/A</v>
      </c>
      <c r="S73" s="92" t="str">
        <f t="shared" si="3"/>
        <v>N/A</v>
      </c>
      <c r="T73" s="1"/>
      <c r="U73" s="101" t="s">
        <v>322</v>
      </c>
      <c r="V73" s="91" t="s">
        <v>332</v>
      </c>
      <c r="W73" s="102">
        <v>48.0</v>
      </c>
      <c r="X73" s="102">
        <v>96.0</v>
      </c>
      <c r="Y73" s="102">
        <v>0.0</v>
      </c>
      <c r="Z73" s="103">
        <v>0.0</v>
      </c>
      <c r="AA73" s="104" t="s">
        <v>236</v>
      </c>
      <c r="AB73" s="105">
        <v>750.59</v>
      </c>
      <c r="AC73" s="1"/>
      <c r="AD73" s="86">
        <f>if(Miscellaneous!E73*AWS!C$5&gt; 256, "", Miscellaneous!E73*AWS!C$5)</f>
        <v>72</v>
      </c>
      <c r="AE73" s="110"/>
      <c r="AF73" s="110"/>
      <c r="AG73" s="110"/>
    </row>
    <row r="74">
      <c r="A74" s="1"/>
      <c r="B74" s="1"/>
      <c r="C74" s="1"/>
      <c r="D74" s="1"/>
      <c r="E74" s="1"/>
      <c r="F74" s="1"/>
      <c r="G74" s="1"/>
      <c r="H74" s="71" t="s">
        <v>290</v>
      </c>
      <c r="I74" s="88" t="s">
        <v>279</v>
      </c>
      <c r="J74" s="1" t="s">
        <v>238</v>
      </c>
      <c r="K74" s="90">
        <f>If(C$20 = 0,  Ceiling(($C$19 / VLOOKUp(Concat("$", Concat(J74, ".Search")) ,U$4:AB$780, 4, false) * VLOOKUp(Concat("$", Concat(J74, ".Search")) ,U$4:AB$780, 8, false) / AZ),1) * AZ, 
    If(VLOOKUp(Concat("$", Concat(J74, ".Search")) ,U$4:AB$780, 5, false) = 0 , "N/A", 
        Max( 
             Ceiling(($C$20 / (VLOOKUp(Concat("$", Concat(J74, ".Search")) ,U$4:AB$780, 5, false) * VLOOKUp(Concat("$", Concat(J74, ".Search")) ,U$4:AB$780, 6, false)* (1 - DiskOverprovisioning))) / AZ,1) * AZ , 
             Ceiling(($C$19 / VLOOKUp(Concat("$", Concat(J74, ".Search")) ,U$4:AB$780, 4, false) / AZ),1) * AZ
           ) * VLOOKUp(Concat("$", Concat(J74, ".Search")) ,U$4:AB$780, 8, false)
     )
 )</f>
        <v>8479.68</v>
      </c>
      <c r="L74" s="1"/>
      <c r="M74" s="91" t="s">
        <v>290</v>
      </c>
      <c r="N74" s="92" t="s">
        <v>279</v>
      </c>
      <c r="O74" s="94" t="s">
        <v>279</v>
      </c>
      <c r="P74" s="94">
        <f t="shared" si="1"/>
        <v>3.984375</v>
      </c>
      <c r="Q74" s="1" t="s">
        <v>238</v>
      </c>
      <c r="R74" s="94">
        <f t="shared" si="2"/>
        <v>3.984375</v>
      </c>
      <c r="S74" s="92">
        <f t="shared" si="3"/>
        <v>22.85382167</v>
      </c>
      <c r="T74" s="1"/>
      <c r="U74" s="101" t="s">
        <v>322</v>
      </c>
      <c r="V74" s="91" t="s">
        <v>333</v>
      </c>
      <c r="W74" s="102">
        <v>64.0</v>
      </c>
      <c r="X74" s="102">
        <v>128.0</v>
      </c>
      <c r="Y74" s="102">
        <v>0.0</v>
      </c>
      <c r="Z74" s="103">
        <v>0.0</v>
      </c>
      <c r="AA74" s="104" t="s">
        <v>208</v>
      </c>
      <c r="AB74" s="105">
        <v>1000.76</v>
      </c>
      <c r="AC74" s="1"/>
      <c r="AD74" s="86">
        <f>if(Miscellaneous!E74*AWS!C$5&gt; 256, "", Miscellaneous!E74*AWS!C$5)</f>
        <v>73</v>
      </c>
      <c r="AE74" s="110"/>
      <c r="AF74" s="110"/>
      <c r="AG74" s="110"/>
    </row>
    <row r="75">
      <c r="A75" s="1"/>
      <c r="B75" s="1"/>
      <c r="C75" s="1"/>
      <c r="D75" s="1"/>
      <c r="E75" s="1"/>
      <c r="F75" s="1"/>
      <c r="G75" s="1"/>
      <c r="H75" s="71" t="s">
        <v>292</v>
      </c>
      <c r="I75" s="88" t="s">
        <v>279</v>
      </c>
      <c r="J75" s="1" t="s">
        <v>241</v>
      </c>
      <c r="K75" s="90">
        <f>If(C$20 = 0,  Ceiling(($C$19 / VLOOKUp(Concat("$", Concat(J75, ".Search")) ,U$4:AB$780, 4, false) * VLOOKUp(Concat("$", Concat(J75, ".Search")) ,U$4:AB$780, 8, false) / AZ),1) * AZ, 
    If(VLOOKUp(Concat("$", Concat(J75, ".Search")) ,U$4:AB$780, 5, false) = 0 , "N/A", 
        Max( 
             Ceiling(($C$20 / (VLOOKUp(Concat("$", Concat(J75, ".Search")) ,U$4:AB$780, 5, false) * VLOOKUp(Concat("$", Concat(J75, ".Search")) ,U$4:AB$780, 6, false)* (1 - DiskOverprovisioning))) / AZ,1) * AZ , 
             Ceiling(($C$19 / VLOOKUp(Concat("$", Concat(J75, ".Search")) ,U$4:AB$780, 4, false) / AZ),1) * AZ
           ) * VLOOKUp(Concat("$", Concat(J75, ".Search")) ,U$4:AB$780, 8, false)
     )
 )</f>
        <v>9834.56</v>
      </c>
      <c r="L75" s="1"/>
      <c r="M75" s="91" t="s">
        <v>292</v>
      </c>
      <c r="N75" s="92" t="s">
        <v>279</v>
      </c>
      <c r="O75" s="94" t="s">
        <v>279</v>
      </c>
      <c r="P75" s="94">
        <f t="shared" si="1"/>
        <v>3.984375</v>
      </c>
      <c r="Q75" s="1" t="s">
        <v>241</v>
      </c>
      <c r="R75" s="94">
        <f t="shared" si="2"/>
        <v>3.984375</v>
      </c>
      <c r="S75" s="92">
        <f t="shared" si="3"/>
        <v>22.85382167</v>
      </c>
      <c r="T75" s="1"/>
      <c r="U75" s="101" t="s">
        <v>334</v>
      </c>
      <c r="V75" s="91" t="s">
        <v>335</v>
      </c>
      <c r="W75" s="102">
        <v>1.0</v>
      </c>
      <c r="X75" s="102">
        <v>2.0</v>
      </c>
      <c r="Y75" s="102">
        <v>1900.0</v>
      </c>
      <c r="Z75" s="103">
        <f>Z76/2</f>
        <v>0.03125</v>
      </c>
      <c r="AA75" s="104" t="s">
        <v>105</v>
      </c>
      <c r="AB75" s="105">
        <v>17.67</v>
      </c>
      <c r="AC75" s="1"/>
      <c r="AD75" s="86">
        <f>if(Miscellaneous!E75*AWS!C$5&gt; 256, "", Miscellaneous!E75*AWS!C$5)</f>
        <v>74</v>
      </c>
      <c r="AE75" s="110"/>
      <c r="AF75" s="110"/>
      <c r="AG75" s="110"/>
    </row>
    <row r="76">
      <c r="A76" s="1"/>
      <c r="B76" s="1"/>
      <c r="C76" s="1"/>
      <c r="D76" s="1"/>
      <c r="E76" s="1"/>
      <c r="F76" s="1"/>
      <c r="G76" s="1"/>
      <c r="H76" s="71" t="s">
        <v>297</v>
      </c>
      <c r="I76" s="88" t="s">
        <v>279</v>
      </c>
      <c r="J76" s="1" t="s">
        <v>336</v>
      </c>
      <c r="K76" s="90" t="str">
        <f>If(C$20 = 0,  Ceiling(($C$19 / VLOOKUp(Concat("$", Concat(J76, ".Search")) ,U$4:AB$780, 4, false) * VLOOKUp(Concat("$", Concat(J76, ".Search")) ,U$4:AB$780, 8, false) / AZ),1) * AZ, 
    If(VLOOKUp(Concat("$", Concat(J76, ".Search")) ,U$4:AB$780, 5, false) = 0 , "N/A", 
        Max( 
             Ceiling(($C$20 / (VLOOKUp(Concat("$", Concat(J76, ".Search")) ,U$4:AB$780, 5, false) * VLOOKUp(Concat("$", Concat(J76, ".Search")) ,U$4:AB$780, 6, false)* (1 - DiskOverprovisioning))) / AZ,1) * AZ , 
             Ceiling(($C$19 / VLOOKUp(Concat("$", Concat(J76, ".Search")) ,U$4:AB$780, 4, false) / AZ),1) * AZ
           ) * VLOOKUp(Concat("$", Concat(J76, ".Search")) ,U$4:AB$780, 8, false)
     )
 )</f>
        <v>N/A</v>
      </c>
      <c r="L76" s="1"/>
      <c r="M76" s="91" t="s">
        <v>297</v>
      </c>
      <c r="N76" s="92" t="s">
        <v>279</v>
      </c>
      <c r="O76" s="94" t="s">
        <v>279</v>
      </c>
      <c r="P76" s="94">
        <f t="shared" si="1"/>
        <v>0</v>
      </c>
      <c r="Q76" s="1" t="s">
        <v>336</v>
      </c>
      <c r="R76" s="94" t="str">
        <f t="shared" si="2"/>
        <v>N/A</v>
      </c>
      <c r="S76" s="92" t="str">
        <f t="shared" si="3"/>
        <v>N/A</v>
      </c>
      <c r="T76" s="1"/>
      <c r="U76" s="101" t="s">
        <v>334</v>
      </c>
      <c r="V76" s="91" t="s">
        <v>337</v>
      </c>
      <c r="W76" s="102">
        <v>2.0</v>
      </c>
      <c r="X76" s="102">
        <v>4.0</v>
      </c>
      <c r="Y76" s="102">
        <v>1900.0</v>
      </c>
      <c r="Z76" s="103">
        <f>0.125/2</f>
        <v>0.0625</v>
      </c>
      <c r="AA76" s="104" t="s">
        <v>105</v>
      </c>
      <c r="AB76" s="105">
        <v>35.33</v>
      </c>
      <c r="AC76" s="1"/>
      <c r="AD76" s="86">
        <f>if(Miscellaneous!E76*AWS!C$5&gt; 256, "", Miscellaneous!E76*AWS!C$5)</f>
        <v>75</v>
      </c>
      <c r="AE76" s="110"/>
      <c r="AF76" s="110"/>
      <c r="AG76" s="110"/>
    </row>
    <row r="77">
      <c r="A77" s="1"/>
      <c r="B77" s="1"/>
      <c r="C77" s="1"/>
      <c r="D77" s="1"/>
      <c r="E77" s="1"/>
      <c r="F77" s="1"/>
      <c r="G77" s="1"/>
      <c r="H77" s="71" t="s">
        <v>304</v>
      </c>
      <c r="I77" s="88" t="s">
        <v>279</v>
      </c>
      <c r="J77" s="1" t="s">
        <v>338</v>
      </c>
      <c r="K77" s="90" t="str">
        <f>If(C$20 = 0,  Ceiling(($C$19 / VLOOKUp(Concat("$", Concat(J77, ".Search")) ,U$4:AB$780, 4, false) * VLOOKUp(Concat("$", Concat(J77, ".Search")) ,U$4:AB$780, 8, false) / AZ),1) * AZ, 
    If(VLOOKUp(Concat("$", Concat(J77, ".Search")) ,U$4:AB$780, 5, false) = 0 , "N/A", 
        Max( 
             Ceiling(($C$20 / (VLOOKUp(Concat("$", Concat(J77, ".Search")) ,U$4:AB$780, 5, false) * VLOOKUp(Concat("$", Concat(J77, ".Search")) ,U$4:AB$780, 6, false)* (1 - DiskOverprovisioning))) / AZ,1) * AZ , 
             Ceiling(($C$19 / VLOOKUp(Concat("$", Concat(J77, ".Search")) ,U$4:AB$780, 4, false) / AZ),1) * AZ
           ) * VLOOKUp(Concat("$", Concat(J77, ".Search")) ,U$4:AB$780, 8, false)
     )
 )</f>
        <v>N/A</v>
      </c>
      <c r="L77" s="1"/>
      <c r="M77" s="91" t="s">
        <v>304</v>
      </c>
      <c r="N77" s="92" t="s">
        <v>279</v>
      </c>
      <c r="O77" s="94" t="s">
        <v>279</v>
      </c>
      <c r="P77" s="94">
        <f t="shared" si="1"/>
        <v>0</v>
      </c>
      <c r="Q77" s="1" t="s">
        <v>338</v>
      </c>
      <c r="R77" s="94" t="str">
        <f t="shared" si="2"/>
        <v>N/A</v>
      </c>
      <c r="S77" s="92" t="str">
        <f t="shared" si="3"/>
        <v>N/A</v>
      </c>
      <c r="T77" s="1"/>
      <c r="U77" s="101" t="s">
        <v>334</v>
      </c>
      <c r="V77" s="91" t="s">
        <v>339</v>
      </c>
      <c r="W77" s="102">
        <v>4.0</v>
      </c>
      <c r="X77" s="102">
        <v>8.0</v>
      </c>
      <c r="Y77" s="102">
        <v>1900.0</v>
      </c>
      <c r="Z77" s="103">
        <v>0.125</v>
      </c>
      <c r="AA77" s="104" t="s">
        <v>105</v>
      </c>
      <c r="AB77" s="105">
        <v>70.66</v>
      </c>
      <c r="AC77" s="1"/>
      <c r="AD77" s="86">
        <f>if(Miscellaneous!E77*AWS!C$5&gt; 256, "", Miscellaneous!E77*AWS!C$5)</f>
        <v>76</v>
      </c>
      <c r="AE77" s="110"/>
      <c r="AF77" s="110"/>
      <c r="AG77" s="110"/>
    </row>
    <row r="78">
      <c r="A78" s="1"/>
      <c r="B78" s="1"/>
      <c r="C78" s="1"/>
      <c r="D78" s="1"/>
      <c r="E78" s="1"/>
      <c r="F78" s="1"/>
      <c r="G78" s="1"/>
      <c r="H78" s="71" t="s">
        <v>306</v>
      </c>
      <c r="I78" s="88" t="s">
        <v>279</v>
      </c>
      <c r="J78" s="1" t="s">
        <v>340</v>
      </c>
      <c r="K78" s="90" t="str">
        <f>If(C$20 = 0,  Ceiling(($C$19 / VLOOKUp(Concat("$", Concat(J78, ".Search")) ,U$4:AB$780, 4, false) * VLOOKUp(Concat("$", Concat(J78, ".Search")) ,U$4:AB$780, 8, false) / AZ),1) * AZ, 
    If(VLOOKUp(Concat("$", Concat(J78, ".Search")) ,U$4:AB$780, 5, false) = 0 , "N/A", 
        Max( 
             Ceiling(($C$20 / (VLOOKUp(Concat("$", Concat(J78, ".Search")) ,U$4:AB$780, 5, false) * VLOOKUp(Concat("$", Concat(J78, ".Search")) ,U$4:AB$780, 6, false)* (1 - DiskOverprovisioning))) / AZ,1) * AZ , 
             Ceiling(($C$19 / VLOOKUp(Concat("$", Concat(J78, ".Search")) ,U$4:AB$780, 4, false) / AZ),1) * AZ
           ) * VLOOKUp(Concat("$", Concat(J78, ".Search")) ,U$4:AB$780, 8, false)
     )
 )</f>
        <v>N/A</v>
      </c>
      <c r="L78" s="1"/>
      <c r="M78" s="91" t="s">
        <v>306</v>
      </c>
      <c r="N78" s="92" t="s">
        <v>279</v>
      </c>
      <c r="O78" s="94" t="s">
        <v>279</v>
      </c>
      <c r="P78" s="94">
        <f t="shared" si="1"/>
        <v>0</v>
      </c>
      <c r="Q78" s="1" t="s">
        <v>340</v>
      </c>
      <c r="R78" s="94" t="str">
        <f t="shared" si="2"/>
        <v>N/A</v>
      </c>
      <c r="S78" s="92" t="str">
        <f t="shared" si="3"/>
        <v>N/A</v>
      </c>
      <c r="T78" s="1"/>
      <c r="U78" s="101" t="s">
        <v>334</v>
      </c>
      <c r="V78" s="91" t="s">
        <v>341</v>
      </c>
      <c r="W78" s="102">
        <v>8.0</v>
      </c>
      <c r="X78" s="102">
        <v>16.0</v>
      </c>
      <c r="Y78" s="102">
        <v>1900.0</v>
      </c>
      <c r="Z78" s="103">
        <v>0.25</v>
      </c>
      <c r="AA78" s="104" t="s">
        <v>105</v>
      </c>
      <c r="AB78" s="105">
        <v>141.26</v>
      </c>
      <c r="AC78" s="1"/>
      <c r="AD78" s="86">
        <f>if(Miscellaneous!E78*AWS!C$5&gt; 256, "", Miscellaneous!E78*AWS!C$5)</f>
        <v>77</v>
      </c>
      <c r="AE78" s="110"/>
      <c r="AF78" s="110"/>
      <c r="AG78" s="110"/>
    </row>
    <row r="79">
      <c r="A79" s="1"/>
      <c r="B79" s="1"/>
      <c r="C79" s="1"/>
      <c r="D79" s="1"/>
      <c r="E79" s="1"/>
      <c r="F79" s="1"/>
      <c r="G79" s="1"/>
      <c r="H79" s="71" t="s">
        <v>309</v>
      </c>
      <c r="I79" s="88" t="s">
        <v>279</v>
      </c>
      <c r="J79" s="1" t="s">
        <v>174</v>
      </c>
      <c r="K79" s="90">
        <f>If(C$20 = 0,  Ceiling(($C$19 / VLOOKUp(Concat("$", Concat(J79, ".Search")) ,U$4:AB$780, 4, false) * VLOOKUp(Concat("$", Concat(J79, ".Search")) ,U$4:AB$780, 8, false) / AZ),1) * AZ, 
    If(VLOOKUp(Concat("$", Concat(J79, ".Search")) ,U$4:AB$780, 5, false) = 0 , "N/A", 
        Max( 
             Ceiling(($C$20 / (VLOOKUp(Concat("$", Concat(J79, ".Search")) ,U$4:AB$780, 5, false) * VLOOKUp(Concat("$", Concat(J79, ".Search")) ,U$4:AB$780, 6, false)* (1 - DiskOverprovisioning))) / AZ,1) * AZ , 
             Ceiling(($C$19 / VLOOKUp(Concat("$", Concat(J79, ".Search")) ,U$4:AB$780, 4, false) / AZ),1) * AZ
           ) * VLOOKUp(Concat("$", Concat(J79, ".Search")) ,U$4:AB$780, 8, false)
     )
 )</f>
        <v>4238.4</v>
      </c>
      <c r="L79" s="1"/>
      <c r="M79" s="91" t="s">
        <v>309</v>
      </c>
      <c r="N79" s="92" t="s">
        <v>279</v>
      </c>
      <c r="O79" s="94" t="s">
        <v>279</v>
      </c>
      <c r="P79" s="94">
        <f t="shared" si="1"/>
        <v>6.30859375</v>
      </c>
      <c r="Q79" s="1" t="s">
        <v>174</v>
      </c>
      <c r="R79" s="94">
        <f t="shared" si="2"/>
        <v>6.30859375</v>
      </c>
      <c r="S79" s="92">
        <f t="shared" si="3"/>
        <v>20.52960292</v>
      </c>
      <c r="T79" s="1"/>
      <c r="U79" s="101" t="s">
        <v>342</v>
      </c>
      <c r="V79" s="91" t="s">
        <v>343</v>
      </c>
      <c r="W79" s="102">
        <v>16.0</v>
      </c>
      <c r="X79" s="102">
        <v>32.0</v>
      </c>
      <c r="Y79" s="102">
        <v>1900.0</v>
      </c>
      <c r="Z79" s="103">
        <v>0.5</v>
      </c>
      <c r="AA79" s="104" t="s">
        <v>105</v>
      </c>
      <c r="AB79" s="105">
        <v>282.58</v>
      </c>
      <c r="AC79" s="1"/>
      <c r="AD79" s="86">
        <f>if(Miscellaneous!E79*AWS!C$5&gt; 256, "", Miscellaneous!E79*AWS!C$5)</f>
        <v>78</v>
      </c>
      <c r="AE79" s="110"/>
      <c r="AF79" s="110"/>
      <c r="AG79" s="110"/>
    </row>
    <row r="80">
      <c r="A80" s="1"/>
      <c r="B80" s="1"/>
      <c r="C80" s="1"/>
      <c r="D80" s="1"/>
      <c r="E80" s="1"/>
      <c r="F80" s="1"/>
      <c r="G80" s="1"/>
      <c r="H80" s="71" t="s">
        <v>313</v>
      </c>
      <c r="I80" s="88" t="s">
        <v>279</v>
      </c>
      <c r="J80" s="1" t="s">
        <v>344</v>
      </c>
      <c r="K80" s="90" t="str">
        <f>If(C$20 = 0,  Ceiling(($C$19 / VLOOKUp(Concat("$", Concat(J80, ".Search")) ,U$4:AB$780, 4, false) * VLOOKUp(Concat("$", Concat(J80, ".Search")) ,U$4:AB$780, 8, false) / AZ),1) * AZ, 
    If(VLOOKUp(Concat("$", Concat(J80, ".Search")) ,U$4:AB$780, 5, false) = 0 , "N/A", 
        Max( 
             Ceiling(($C$20 / (VLOOKUp(Concat("$", Concat(J80, ".Search")) ,U$4:AB$780, 5, false) * VLOOKUp(Concat("$", Concat(J80, ".Search")) ,U$4:AB$780, 6, false)* (1 - DiskOverprovisioning))) / AZ,1) * AZ , 
             Ceiling(($C$19 / VLOOKUp(Concat("$", Concat(J80, ".Search")) ,U$4:AB$780, 4, false) / AZ),1) * AZ
           ) * VLOOKUp(Concat("$", Concat(J80, ".Search")) ,U$4:AB$780, 8, false)
     )
 )</f>
        <v>N/A</v>
      </c>
      <c r="L80" s="1"/>
      <c r="M80" s="91" t="s">
        <v>313</v>
      </c>
      <c r="N80" s="92" t="s">
        <v>279</v>
      </c>
      <c r="O80" s="94" t="s">
        <v>279</v>
      </c>
      <c r="P80" s="94">
        <f t="shared" si="1"/>
        <v>0</v>
      </c>
      <c r="Q80" s="1" t="s">
        <v>344</v>
      </c>
      <c r="R80" s="94" t="str">
        <f t="shared" si="2"/>
        <v>N/A</v>
      </c>
      <c r="S80" s="92" t="str">
        <f t="shared" si="3"/>
        <v>N/A</v>
      </c>
      <c r="T80" s="1"/>
      <c r="U80" s="101" t="s">
        <v>334</v>
      </c>
      <c r="V80" s="91" t="s">
        <v>345</v>
      </c>
      <c r="W80" s="102">
        <v>32.0</v>
      </c>
      <c r="X80" s="102">
        <v>64.0</v>
      </c>
      <c r="Y80" s="102">
        <v>1900.0</v>
      </c>
      <c r="Z80" s="103">
        <v>1.0</v>
      </c>
      <c r="AA80" s="104" t="s">
        <v>198</v>
      </c>
      <c r="AB80" s="105">
        <v>565.09</v>
      </c>
      <c r="AC80" s="1"/>
      <c r="AD80" s="86">
        <f>if(Miscellaneous!E80*AWS!C$5&gt; 256, "", Miscellaneous!E80*AWS!C$5)</f>
        <v>79</v>
      </c>
      <c r="AE80" s="110"/>
      <c r="AF80" s="110"/>
      <c r="AG80" s="110"/>
    </row>
    <row r="81">
      <c r="A81" s="1"/>
      <c r="B81" s="1"/>
      <c r="C81" s="1"/>
      <c r="D81" s="1"/>
      <c r="E81" s="1"/>
      <c r="F81" s="1"/>
      <c r="G81" s="1"/>
      <c r="H81" s="71" t="s">
        <v>316</v>
      </c>
      <c r="I81" s="88" t="s">
        <v>279</v>
      </c>
      <c r="J81" s="1" t="s">
        <v>194</v>
      </c>
      <c r="K81" s="90">
        <f>If(C$20 = 0,  Ceiling(($C$19 / VLOOKUp(Concat("$", Concat(J81, ".Search")) ,U$4:AB$780, 4, false) * VLOOKUp(Concat("$", Concat(J81, ".Search")) ,U$4:AB$780, 8, false) / AZ),1) * AZ, 
    If(VLOOKUp(Concat("$", Concat(J81, ".Search")) ,U$4:AB$780, 5, false) = 0 , "N/A", 
        Max( 
             Ceiling(($C$20 / (VLOOKUp(Concat("$", Concat(J81, ".Search")) ,U$4:AB$780, 5, false) * VLOOKUp(Concat("$", Concat(J81, ".Search")) ,U$4:AB$780, 6, false)* (1 - DiskOverprovisioning))) / AZ,1) * AZ , 
             Ceiling(($C$19 / VLOOKUp(Concat("$", Concat(J81, ".Search")) ,U$4:AB$780, 4, false) / AZ),1) * AZ
           ) * VLOOKUp(Concat("$", Concat(J81, ".Search")) ,U$4:AB$780, 8, false)
     )
 )</f>
        <v>5549.5</v>
      </c>
      <c r="L81" s="1"/>
      <c r="M81" s="91" t="s">
        <v>316</v>
      </c>
      <c r="N81" s="92" t="s">
        <v>279</v>
      </c>
      <c r="O81" s="94" t="s">
        <v>279</v>
      </c>
      <c r="P81" s="94">
        <f t="shared" si="1"/>
        <v>6.30859375</v>
      </c>
      <c r="Q81" s="1" t="s">
        <v>194</v>
      </c>
      <c r="R81" s="94">
        <f t="shared" si="2"/>
        <v>6.30859375</v>
      </c>
      <c r="S81" s="92">
        <f t="shared" si="3"/>
        <v>20.52960292</v>
      </c>
      <c r="T81" s="1"/>
      <c r="U81" s="101" t="s">
        <v>334</v>
      </c>
      <c r="V81" s="91" t="s">
        <v>346</v>
      </c>
      <c r="W81" s="102">
        <v>48.0</v>
      </c>
      <c r="X81" s="102">
        <v>96.0</v>
      </c>
      <c r="Y81" s="102">
        <v>1900.0</v>
      </c>
      <c r="Z81" s="103">
        <f>2*1425/1900</f>
        <v>1.5</v>
      </c>
      <c r="AA81" s="104" t="s">
        <v>236</v>
      </c>
      <c r="AB81" s="105">
        <v>847.68</v>
      </c>
      <c r="AC81" s="1"/>
      <c r="AD81" s="86">
        <f>if(Miscellaneous!E81*AWS!C$5&gt; 256, "", Miscellaneous!E81*AWS!C$5)</f>
        <v>80</v>
      </c>
      <c r="AE81" s="110"/>
      <c r="AF81" s="110"/>
      <c r="AG81" s="110"/>
    </row>
    <row r="82">
      <c r="A82" s="1"/>
      <c r="B82" s="1"/>
      <c r="C82" s="1"/>
      <c r="D82" s="1"/>
      <c r="E82" s="1"/>
      <c r="F82" s="1"/>
      <c r="G82" s="1"/>
      <c r="H82" s="71" t="s">
        <v>318</v>
      </c>
      <c r="I82" s="88" t="s">
        <v>279</v>
      </c>
      <c r="J82" s="1" t="s">
        <v>213</v>
      </c>
      <c r="K82" s="90">
        <f>If(C$20 = 0,  Ceiling(($C$19 / VLOOKUp(Concat("$", Concat(J82, ".Search")) ,U$4:AB$780, 4, false) * VLOOKUp(Concat("$", Concat(J82, ".Search")) ,U$4:AB$780, 8, false) / AZ),1) * AZ, 
    If(VLOOKUp(Concat("$", Concat(J82, ".Search")) ,U$4:AB$780, 5, false) = 0 , "N/A", 
        Max( 
             Ceiling(($C$20 / (VLOOKUp(Concat("$", Concat(J82, ".Search")) ,U$4:AB$780, 5, false) * VLOOKUp(Concat("$", Concat(J82, ".Search")) ,U$4:AB$780, 6, false)* (1 - DiskOverprovisioning))) / AZ,1) * AZ , 
             Ceiling(($C$19 / VLOOKUp(Concat("$", Concat(J82, ".Search")) ,U$4:AB$780, 4, false) / AZ),1) * AZ
           ) * VLOOKUp(Concat("$", Concat(J82, ".Search")) ,U$4:AB$780, 8, false)
     )
 )</f>
        <v>7188.8</v>
      </c>
      <c r="L82" s="1"/>
      <c r="M82" s="91" t="s">
        <v>318</v>
      </c>
      <c r="N82" s="92" t="s">
        <v>279</v>
      </c>
      <c r="O82" s="94" t="s">
        <v>279</v>
      </c>
      <c r="P82" s="94">
        <f t="shared" si="1"/>
        <v>6.30859375</v>
      </c>
      <c r="Q82" s="1" t="s">
        <v>213</v>
      </c>
      <c r="R82" s="94">
        <f t="shared" si="2"/>
        <v>6.30859375</v>
      </c>
      <c r="S82" s="92">
        <f t="shared" si="3"/>
        <v>20.52960292</v>
      </c>
      <c r="T82" s="1"/>
      <c r="U82" s="101" t="s">
        <v>334</v>
      </c>
      <c r="V82" s="91" t="s">
        <v>347</v>
      </c>
      <c r="W82" s="102">
        <v>64.0</v>
      </c>
      <c r="X82" s="102">
        <v>128.0</v>
      </c>
      <c r="Y82" s="133">
        <v>1900.0</v>
      </c>
      <c r="Z82" s="103">
        <v>2.0</v>
      </c>
      <c r="AA82" s="134" t="s">
        <v>208</v>
      </c>
      <c r="AB82" s="105">
        <v>1130.26</v>
      </c>
      <c r="AC82" s="1"/>
      <c r="AD82" s="86">
        <f>if(Miscellaneous!E82*AWS!C$5&gt; 256, "", Miscellaneous!E82*AWS!C$5)</f>
        <v>81</v>
      </c>
      <c r="AE82" s="110"/>
      <c r="AF82" s="110"/>
      <c r="AG82" s="110"/>
    </row>
    <row r="83">
      <c r="A83" s="1"/>
      <c r="B83" s="1"/>
      <c r="C83" s="1"/>
      <c r="D83" s="1"/>
      <c r="E83" s="1"/>
      <c r="F83" s="1"/>
      <c r="G83" s="1"/>
      <c r="H83" s="71" t="s">
        <v>324</v>
      </c>
      <c r="I83" s="88" t="s">
        <v>279</v>
      </c>
      <c r="J83" s="1" t="s">
        <v>348</v>
      </c>
      <c r="K83" s="90" t="str">
        <f>If(C$20 = 0,  Ceiling(($C$19 / VLOOKUp(Concat("$", Concat(J83, ".Search")) ,U$4:AB$780, 4, false) * VLOOKUp(Concat("$", Concat(J83, ".Search")) ,U$4:AB$780, 8, false) / AZ),1) * AZ, 
    If(VLOOKUp(Concat("$", Concat(J83, ".Search")) ,U$4:AB$780, 5, false) = 0 , "N/A", 
        Max( 
             Ceiling(($C$20 / (VLOOKUp(Concat("$", Concat(J83, ".Search")) ,U$4:AB$780, 5, false) * VLOOKUp(Concat("$", Concat(J83, ".Search")) ,U$4:AB$780, 6, false)* (1 - DiskOverprovisioning))) / AZ,1) * AZ , 
             Ceiling(($C$19 / VLOOKUp(Concat("$", Concat(J83, ".Search")) ,U$4:AB$780, 4, false) / AZ),1) * AZ
           ) * VLOOKUp(Concat("$", Concat(J83, ".Search")) ,U$4:AB$780, 8, false)
     )
 )</f>
        <v>N/A</v>
      </c>
      <c r="L83" s="1"/>
      <c r="M83" s="91" t="s">
        <v>324</v>
      </c>
      <c r="N83" s="92" t="s">
        <v>279</v>
      </c>
      <c r="O83" s="94" t="s">
        <v>279</v>
      </c>
      <c r="P83" s="94">
        <f t="shared" si="1"/>
        <v>0</v>
      </c>
      <c r="Q83" s="1" t="s">
        <v>348</v>
      </c>
      <c r="R83" s="94" t="str">
        <f t="shared" si="2"/>
        <v>N/A</v>
      </c>
      <c r="S83" s="92" t="str">
        <f t="shared" si="3"/>
        <v>N/A</v>
      </c>
      <c r="T83" s="1"/>
      <c r="U83" s="101" t="s">
        <v>349</v>
      </c>
      <c r="V83" s="91" t="s">
        <v>350</v>
      </c>
      <c r="W83" s="102">
        <v>1.0</v>
      </c>
      <c r="X83" s="102">
        <v>2.0</v>
      </c>
      <c r="Y83" s="133">
        <v>0.0</v>
      </c>
      <c r="Z83" s="103">
        <v>0.0</v>
      </c>
      <c r="AA83" s="134" t="s">
        <v>351</v>
      </c>
      <c r="AB83" s="105">
        <v>19.91</v>
      </c>
      <c r="AC83" s="1"/>
      <c r="AD83" s="86">
        <f>if(Miscellaneous!E83*AWS!C$5&gt; 256, "", Miscellaneous!E83*AWS!C$5)</f>
        <v>82</v>
      </c>
      <c r="AE83" s="110"/>
      <c r="AF83" s="110"/>
      <c r="AG83" s="110"/>
    </row>
    <row r="84">
      <c r="A84" s="1"/>
      <c r="B84" s="1"/>
      <c r="C84" s="1"/>
      <c r="D84" s="1"/>
      <c r="E84" s="1"/>
      <c r="F84" s="1"/>
      <c r="G84" s="1"/>
      <c r="H84" s="71" t="s">
        <v>326</v>
      </c>
      <c r="I84" s="88" t="s">
        <v>279</v>
      </c>
      <c r="J84" s="1" t="s">
        <v>352</v>
      </c>
      <c r="K84" s="90" t="str">
        <f>If(C$20 = 0,  Ceiling(($C$19 / VLOOKUp(Concat("$", Concat(J84, ".Search")) ,U$4:AB$780, 4, false) * VLOOKUp(Concat("$", Concat(J84, ".Search")) ,U$4:AB$780, 8, false) / AZ),1) * AZ, 
    If(VLOOKUp(Concat("$", Concat(J84, ".Search")) ,U$4:AB$780, 5, false) = 0 , "N/A", 
        Max( 
             Ceiling(($C$20 / (VLOOKUp(Concat("$", Concat(J84, ".Search")) ,U$4:AB$780, 5, false) * VLOOKUp(Concat("$", Concat(J84, ".Search")) ,U$4:AB$780, 6, false)* (1 - DiskOverprovisioning))) / AZ,1) * AZ , 
             Ceiling(($C$19 / VLOOKUp(Concat("$", Concat(J84, ".Search")) ,U$4:AB$780, 4, false) / AZ),1) * AZ
           ) * VLOOKUp(Concat("$", Concat(J84, ".Search")) ,U$4:AB$780, 8, false)
     )
 )</f>
        <v>N/A</v>
      </c>
      <c r="L84" s="1"/>
      <c r="M84" s="91" t="s">
        <v>326</v>
      </c>
      <c r="N84" s="92" t="s">
        <v>279</v>
      </c>
      <c r="O84" s="94" t="s">
        <v>279</v>
      </c>
      <c r="P84" s="94">
        <f t="shared" si="1"/>
        <v>0</v>
      </c>
      <c r="Q84" s="1" t="s">
        <v>352</v>
      </c>
      <c r="R84" s="94" t="str">
        <f t="shared" si="2"/>
        <v>N/A</v>
      </c>
      <c r="S84" s="92" t="str">
        <f t="shared" si="3"/>
        <v>N/A</v>
      </c>
      <c r="T84" s="1"/>
      <c r="U84" s="101" t="s">
        <v>353</v>
      </c>
      <c r="V84" s="91" t="s">
        <v>354</v>
      </c>
      <c r="W84" s="102">
        <v>2.0</v>
      </c>
      <c r="X84" s="102">
        <v>4.0</v>
      </c>
      <c r="Y84" s="133">
        <v>0.0</v>
      </c>
      <c r="Z84" s="103">
        <v>0.0</v>
      </c>
      <c r="AA84" s="134" t="s">
        <v>284</v>
      </c>
      <c r="AB84" s="105">
        <v>39.81</v>
      </c>
      <c r="AC84" s="1"/>
      <c r="AD84" s="86">
        <f>if(Miscellaneous!E84*AWS!C$5&gt; 256, "", Miscellaneous!E84*AWS!C$5)</f>
        <v>83</v>
      </c>
      <c r="AE84" s="110"/>
      <c r="AF84" s="110"/>
      <c r="AG84" s="110"/>
    </row>
    <row r="85">
      <c r="A85" s="1"/>
      <c r="B85" s="1"/>
      <c r="C85" s="1"/>
      <c r="D85" s="1"/>
      <c r="E85" s="1"/>
      <c r="F85" s="1"/>
      <c r="G85" s="1"/>
      <c r="H85" s="71" t="s">
        <v>328</v>
      </c>
      <c r="I85" s="88" t="s">
        <v>279</v>
      </c>
      <c r="J85" s="1" t="s">
        <v>355</v>
      </c>
      <c r="K85" s="90" t="str">
        <f>If(C$20 = 0,  Ceiling(($C$19 / VLOOKUp(Concat("$", Concat(J85, ".Search")) ,U$4:AB$780, 4, false) * VLOOKUp(Concat("$", Concat(J85, ".Search")) ,U$4:AB$780, 8, false) / AZ),1) * AZ, 
    If(VLOOKUp(Concat("$", Concat(J85, ".Search")) ,U$4:AB$780, 5, false) = 0 , "N/A", 
        Max( 
             Ceiling(($C$20 / (VLOOKUp(Concat("$", Concat(J85, ".Search")) ,U$4:AB$780, 5, false) * VLOOKUp(Concat("$", Concat(J85, ".Search")) ,U$4:AB$780, 6, false)* (1 - DiskOverprovisioning))) / AZ,1) * AZ , 
             Ceiling(($C$19 / VLOOKUp(Concat("$", Concat(J85, ".Search")) ,U$4:AB$780, 4, false) / AZ),1) * AZ
           ) * VLOOKUp(Concat("$", Concat(J85, ".Search")) ,U$4:AB$780, 8, false)
     )
 )</f>
        <v>N/A</v>
      </c>
      <c r="L85" s="1"/>
      <c r="M85" s="91" t="s">
        <v>328</v>
      </c>
      <c r="N85" s="92" t="s">
        <v>279</v>
      </c>
      <c r="O85" s="94" t="s">
        <v>279</v>
      </c>
      <c r="P85" s="94">
        <f t="shared" si="1"/>
        <v>0</v>
      </c>
      <c r="Q85" s="1" t="s">
        <v>355</v>
      </c>
      <c r="R85" s="94" t="str">
        <f t="shared" si="2"/>
        <v>N/A</v>
      </c>
      <c r="S85" s="92" t="str">
        <f t="shared" si="3"/>
        <v>N/A</v>
      </c>
      <c r="T85" s="1"/>
      <c r="U85" s="101" t="s">
        <v>353</v>
      </c>
      <c r="V85" s="91" t="s">
        <v>356</v>
      </c>
      <c r="W85" s="102">
        <v>4.0</v>
      </c>
      <c r="X85" s="102">
        <v>8.0</v>
      </c>
      <c r="Y85" s="133">
        <v>0.0</v>
      </c>
      <c r="Z85" s="103">
        <v>0.0</v>
      </c>
      <c r="AA85" s="134" t="s">
        <v>284</v>
      </c>
      <c r="AB85" s="105">
        <v>79.61</v>
      </c>
      <c r="AC85" s="1"/>
      <c r="AD85" s="86">
        <f>if(Miscellaneous!E85*AWS!C$5&gt; 256, "", Miscellaneous!E85*AWS!C$5)</f>
        <v>84</v>
      </c>
      <c r="AE85" s="110"/>
      <c r="AF85" s="110"/>
      <c r="AG85" s="110"/>
    </row>
    <row r="86">
      <c r="A86" s="1"/>
      <c r="B86" s="1"/>
      <c r="C86" s="1"/>
      <c r="D86" s="1"/>
      <c r="E86" s="1"/>
      <c r="F86" s="1"/>
      <c r="G86" s="1"/>
      <c r="H86" s="71" t="s">
        <v>331</v>
      </c>
      <c r="I86" s="88" t="s">
        <v>279</v>
      </c>
      <c r="J86" s="1" t="s">
        <v>185</v>
      </c>
      <c r="K86" s="90">
        <f>If(C$20 = 0,  Ceiling(($C$19 / VLOOKUp(Concat("$", Concat(J86, ".Search")) ,U$4:AB$780, 4, false) * VLOOKUp(Concat("$", Concat(J86, ".Search")) ,U$4:AB$780, 8, false) / AZ),1) * AZ, 
    If(VLOOKUp(Concat("$", Concat(J86, ".Search")) ,U$4:AB$780, 5, false) = 0 , "N/A", 
        Max( 
             Ceiling(($C$20 / (VLOOKUp(Concat("$", Concat(J86, ".Search")) ,U$4:AB$780, 5, false) * VLOOKUp(Concat("$", Concat(J86, ".Search")) ,U$4:AB$780, 6, false)* (1 - DiskOverprovisioning))) / AZ,1) * AZ , 
             Ceiling(($C$19 / VLOOKUp(Concat("$", Concat(J86, ".Search")) ,U$4:AB$780, 4, false) / AZ),1) * AZ
           ) * VLOOKUp(Concat("$", Concat(J86, ".Search")) ,U$4:AB$780, 8, false)
     )
 )</f>
        <v>4994.7</v>
      </c>
      <c r="L86" s="1"/>
      <c r="M86" s="91" t="s">
        <v>331</v>
      </c>
      <c r="N86" s="92" t="s">
        <v>279</v>
      </c>
      <c r="O86" s="94" t="s">
        <v>279</v>
      </c>
      <c r="P86" s="94">
        <f t="shared" si="1"/>
        <v>6.30859375</v>
      </c>
      <c r="Q86" s="1" t="s">
        <v>185</v>
      </c>
      <c r="R86" s="94">
        <f t="shared" si="2"/>
        <v>6.30859375</v>
      </c>
      <c r="S86" s="92">
        <f t="shared" si="3"/>
        <v>20.52960292</v>
      </c>
      <c r="T86" s="1"/>
      <c r="U86" s="101" t="s">
        <v>353</v>
      </c>
      <c r="V86" s="91" t="s">
        <v>357</v>
      </c>
      <c r="W86" s="102">
        <v>8.0</v>
      </c>
      <c r="X86" s="102">
        <v>16.0</v>
      </c>
      <c r="Y86" s="133">
        <v>0.0</v>
      </c>
      <c r="Z86" s="103">
        <v>0.0</v>
      </c>
      <c r="AA86" s="134" t="s">
        <v>284</v>
      </c>
      <c r="AB86" s="105">
        <v>159.23</v>
      </c>
      <c r="AC86" s="1"/>
      <c r="AD86" s="86">
        <f>if(Miscellaneous!E86*AWS!C$5&gt; 256, "", Miscellaneous!E86*AWS!C$5)</f>
        <v>85</v>
      </c>
      <c r="AE86" s="110"/>
      <c r="AF86" s="110"/>
      <c r="AG86" s="110"/>
    </row>
    <row r="87">
      <c r="A87" s="1"/>
      <c r="B87" s="1"/>
      <c r="C87" s="1"/>
      <c r="D87" s="1"/>
      <c r="E87" s="1"/>
      <c r="F87" s="1"/>
      <c r="G87" s="1"/>
      <c r="H87" s="71" t="s">
        <v>336</v>
      </c>
      <c r="I87" s="88" t="s">
        <v>279</v>
      </c>
      <c r="J87" s="1" t="s">
        <v>358</v>
      </c>
      <c r="K87" s="90" t="str">
        <f>If(C$20 = 0,  Ceiling(($C$19 / VLOOKUp(Concat("$", Concat(J87, ".Search")) ,U$4:AB$780, 4, false) * VLOOKUp(Concat("$", Concat(J87, ".Search")) ,U$4:AB$780, 8, false) / AZ),1) * AZ, 
    If(VLOOKUp(Concat("$", Concat(J87, ".Search")) ,U$4:AB$780, 5, false) = 0 , "N/A", 
        Max( 
             Ceiling(($C$20 / (VLOOKUp(Concat("$", Concat(J87, ".Search")) ,U$4:AB$780, 5, false) * VLOOKUp(Concat("$", Concat(J87, ".Search")) ,U$4:AB$780, 6, false)* (1 - DiskOverprovisioning))) / AZ,1) * AZ , 
             Ceiling(($C$19 / VLOOKUp(Concat("$", Concat(J87, ".Search")) ,U$4:AB$780, 4, false) / AZ),1) * AZ
           ) * VLOOKUp(Concat("$", Concat(J87, ".Search")) ,U$4:AB$780, 8, false)
     )
 )</f>
        <v>N/A</v>
      </c>
      <c r="L87" s="1"/>
      <c r="M87" s="91" t="s">
        <v>336</v>
      </c>
      <c r="N87" s="92" t="s">
        <v>279</v>
      </c>
      <c r="O87" s="94" t="s">
        <v>279</v>
      </c>
      <c r="P87" s="94">
        <f t="shared" si="1"/>
        <v>0</v>
      </c>
      <c r="Q87" s="1" t="s">
        <v>358</v>
      </c>
      <c r="R87" s="94" t="str">
        <f t="shared" si="2"/>
        <v>N/A</v>
      </c>
      <c r="S87" s="92" t="str">
        <f t="shared" si="3"/>
        <v>N/A</v>
      </c>
      <c r="T87" s="1"/>
      <c r="U87" s="101" t="s">
        <v>353</v>
      </c>
      <c r="V87" s="91" t="s">
        <v>359</v>
      </c>
      <c r="W87" s="102">
        <v>16.0</v>
      </c>
      <c r="X87" s="102">
        <v>32.0</v>
      </c>
      <c r="Y87" s="133">
        <v>0.0</v>
      </c>
      <c r="Z87" s="103">
        <v>0.0</v>
      </c>
      <c r="AA87" s="134" t="s">
        <v>208</v>
      </c>
      <c r="AB87" s="105">
        <v>318.46</v>
      </c>
      <c r="AC87" s="1"/>
      <c r="AD87" s="86">
        <f>if(Miscellaneous!E87*AWS!C$5&gt; 256, "", Miscellaneous!E87*AWS!C$5)</f>
        <v>86</v>
      </c>
      <c r="AE87" s="110"/>
      <c r="AF87" s="110"/>
      <c r="AG87" s="110"/>
    </row>
    <row r="88">
      <c r="A88" s="1"/>
      <c r="B88" s="1"/>
      <c r="C88" s="1"/>
      <c r="D88" s="1"/>
      <c r="E88" s="1"/>
      <c r="F88" s="1"/>
      <c r="G88" s="1"/>
      <c r="H88" s="71" t="s">
        <v>338</v>
      </c>
      <c r="I88" s="88" t="s">
        <v>279</v>
      </c>
      <c r="J88" s="1" t="s">
        <v>360</v>
      </c>
      <c r="K88" s="90" t="str">
        <f>If(C$20 = 0,  Ceiling(($C$19 / VLOOKUp(Concat("$", Concat(J88, ".Search")) ,U$4:AB$780, 4, false) * VLOOKUp(Concat("$", Concat(J88, ".Search")) ,U$4:AB$780, 8, false) / AZ),1) * AZ, 
    If(VLOOKUp(Concat("$", Concat(J88, ".Search")) ,U$4:AB$780, 5, false) = 0 , "N/A", 
        Max( 
             Ceiling(($C$20 / (VLOOKUp(Concat("$", Concat(J88, ".Search")) ,U$4:AB$780, 5, false) * VLOOKUp(Concat("$", Concat(J88, ".Search")) ,U$4:AB$780, 6, false)* (1 - DiskOverprovisioning))) / AZ,1) * AZ , 
             Ceiling(($C$19 / VLOOKUp(Concat("$", Concat(J88, ".Search")) ,U$4:AB$780, 4, false) / AZ),1) * AZ
           ) * VLOOKUp(Concat("$", Concat(J88, ".Search")) ,U$4:AB$780, 8, false)
     )
 )</f>
        <v>N/A</v>
      </c>
      <c r="L88" s="1"/>
      <c r="M88" s="91" t="s">
        <v>338</v>
      </c>
      <c r="N88" s="92" t="s">
        <v>279</v>
      </c>
      <c r="O88" s="93" t="s">
        <v>279</v>
      </c>
      <c r="P88" s="94">
        <f t="shared" si="1"/>
        <v>0</v>
      </c>
      <c r="Q88" s="1" t="s">
        <v>360</v>
      </c>
      <c r="R88" s="94" t="str">
        <f t="shared" si="2"/>
        <v>N/A</v>
      </c>
      <c r="S88" s="92" t="str">
        <f t="shared" si="3"/>
        <v>N/A</v>
      </c>
      <c r="T88" s="1"/>
      <c r="U88" s="101" t="s">
        <v>353</v>
      </c>
      <c r="V88" s="91" t="s">
        <v>361</v>
      </c>
      <c r="W88" s="102">
        <v>32.0</v>
      </c>
      <c r="X88" s="102">
        <v>64.0</v>
      </c>
      <c r="Y88" s="133">
        <v>0.0</v>
      </c>
      <c r="Z88" s="103">
        <v>0.0</v>
      </c>
      <c r="AA88" s="134" t="s">
        <v>294</v>
      </c>
      <c r="AB88" s="105">
        <v>636.93</v>
      </c>
      <c r="AC88" s="1"/>
      <c r="AD88" s="86">
        <f>if(Miscellaneous!E88*AWS!C$5&gt; 256, "", Miscellaneous!E88*AWS!C$5)</f>
        <v>87</v>
      </c>
      <c r="AE88" s="110"/>
      <c r="AF88" s="110"/>
      <c r="AG88" s="110"/>
    </row>
    <row r="89">
      <c r="A89" s="1"/>
      <c r="B89" s="1"/>
      <c r="C89" s="1"/>
      <c r="D89" s="1"/>
      <c r="E89" s="1"/>
      <c r="F89" s="1"/>
      <c r="G89" s="1"/>
      <c r="H89" s="71" t="s">
        <v>340</v>
      </c>
      <c r="I89" s="88" t="s">
        <v>279</v>
      </c>
      <c r="J89" s="1" t="s">
        <v>362</v>
      </c>
      <c r="K89" s="90" t="str">
        <f>If(C$20 = 0,  Ceiling(($C$19 / VLOOKUp(Concat("$", Concat(J89, ".Search")) ,U$4:AB$780, 4, false) * VLOOKUp(Concat("$", Concat(J89, ".Search")) ,U$4:AB$780, 8, false) / AZ),1) * AZ, 
    If(VLOOKUp(Concat("$", Concat(J89, ".Search")) ,U$4:AB$780, 5, false) = 0 , "N/A", 
        Max( 
             Ceiling(($C$20 / (VLOOKUp(Concat("$", Concat(J89, ".Search")) ,U$4:AB$780, 5, false) * VLOOKUp(Concat("$", Concat(J89, ".Search")) ,U$4:AB$780, 6, false)* (1 - DiskOverprovisioning))) / AZ,1) * AZ , 
             Ceiling(($C$19 / VLOOKUp(Concat("$", Concat(J89, ".Search")) ,U$4:AB$780, 4, false) / AZ),1) * AZ
           ) * VLOOKUp(Concat("$", Concat(J89, ".Search")) ,U$4:AB$780, 8, false)
     )
 )</f>
        <v>N/A</v>
      </c>
      <c r="L89" s="1"/>
      <c r="M89" s="91" t="s">
        <v>340</v>
      </c>
      <c r="N89" s="92" t="s">
        <v>279</v>
      </c>
      <c r="O89" s="93" t="s">
        <v>279</v>
      </c>
      <c r="P89" s="94">
        <f t="shared" si="1"/>
        <v>0</v>
      </c>
      <c r="Q89" s="1" t="s">
        <v>362</v>
      </c>
      <c r="R89" s="94" t="str">
        <f t="shared" si="2"/>
        <v>N/A</v>
      </c>
      <c r="S89" s="92" t="str">
        <f t="shared" si="3"/>
        <v>N/A</v>
      </c>
      <c r="T89" s="1"/>
      <c r="U89" s="101" t="s">
        <v>353</v>
      </c>
      <c r="V89" s="91" t="s">
        <v>363</v>
      </c>
      <c r="W89" s="102">
        <v>48.0</v>
      </c>
      <c r="X89" s="102">
        <v>96.0</v>
      </c>
      <c r="Y89" s="102">
        <v>0.0</v>
      </c>
      <c r="Z89" s="103">
        <v>0.0</v>
      </c>
      <c r="AA89" s="104" t="s">
        <v>364</v>
      </c>
      <c r="AB89" s="105">
        <v>955.39</v>
      </c>
      <c r="AC89" s="1"/>
      <c r="AD89" s="86">
        <f>if(Miscellaneous!E89*AWS!C$5&gt; 256, "", Miscellaneous!E89*AWS!C$5)</f>
        <v>88</v>
      </c>
      <c r="AE89" s="110"/>
      <c r="AF89" s="110"/>
      <c r="AG89" s="110"/>
    </row>
    <row r="90">
      <c r="A90" s="1"/>
      <c r="B90" s="1"/>
      <c r="C90" s="1"/>
      <c r="D90" s="1"/>
      <c r="E90" s="1"/>
      <c r="F90" s="1"/>
      <c r="G90" s="1"/>
      <c r="H90" s="71" t="s">
        <v>344</v>
      </c>
      <c r="I90" s="88" t="s">
        <v>279</v>
      </c>
      <c r="J90" s="1" t="s">
        <v>201</v>
      </c>
      <c r="K90" s="90">
        <f>If(C$20 = 0,  Ceiling(($C$19 / VLOOKUp(Concat("$", Concat(J90, ".Search")) ,U$4:AB$780, 4, false) * VLOOKUp(Concat("$", Concat(J90, ".Search")) ,U$4:AB$780, 8, false) / AZ),1) * AZ, 
    If(VLOOKUp(Concat("$", Concat(J90, ".Search")) ,U$4:AB$780, 5, false) = 0 , "N/A", 
        Max( 
             Ceiling(($C$20 / (VLOOKUp(Concat("$", Concat(J90, ".Search")) ,U$4:AB$780, 5, false) * VLOOKUp(Concat("$", Concat(J90, ".Search")) ,U$4:AB$780, 6, false)* (1 - DiskOverprovisioning))) / AZ,1) * AZ , 
             Ceiling(($C$19 / VLOOKUp(Concat("$", Concat(J90, ".Search")) ,U$4:AB$780, 4, false) / AZ),1) * AZ
           ) * VLOOKUp(Concat("$", Concat(J90, ".Search")) ,U$4:AB$780, 8, false)
     )
 )</f>
        <v>5655.5</v>
      </c>
      <c r="L90" s="1"/>
      <c r="M90" s="91" t="s">
        <v>344</v>
      </c>
      <c r="N90" s="92" t="s">
        <v>279</v>
      </c>
      <c r="O90" s="93" t="s">
        <v>279</v>
      </c>
      <c r="P90" s="94">
        <f t="shared" si="1"/>
        <v>6.30859375</v>
      </c>
      <c r="Q90" s="1" t="s">
        <v>201</v>
      </c>
      <c r="R90" s="94">
        <f t="shared" si="2"/>
        <v>6.30859375</v>
      </c>
      <c r="S90" s="92">
        <f t="shared" si="3"/>
        <v>20.52960292</v>
      </c>
      <c r="T90" s="1"/>
      <c r="U90" s="101" t="s">
        <v>353</v>
      </c>
      <c r="V90" s="91" t="s">
        <v>365</v>
      </c>
      <c r="W90" s="102">
        <v>64.0</v>
      </c>
      <c r="X90" s="102">
        <v>128.0</v>
      </c>
      <c r="Y90" s="102">
        <v>0.0</v>
      </c>
      <c r="Z90" s="103">
        <v>0.0</v>
      </c>
      <c r="AA90" s="104" t="s">
        <v>296</v>
      </c>
      <c r="AB90" s="105">
        <v>1273.86</v>
      </c>
      <c r="AC90" s="1"/>
      <c r="AD90" s="86">
        <f>if(Miscellaneous!E90*AWS!C$5&gt; 256, "", Miscellaneous!E90*AWS!C$5)</f>
        <v>89</v>
      </c>
      <c r="AE90" s="110"/>
      <c r="AF90" s="110"/>
      <c r="AG90" s="110"/>
    </row>
    <row r="91">
      <c r="A91" s="1"/>
      <c r="B91" s="1"/>
      <c r="C91" s="1"/>
      <c r="D91" s="1"/>
      <c r="E91" s="1"/>
      <c r="F91" s="1"/>
      <c r="G91" s="1"/>
      <c r="H91" s="71" t="s">
        <v>348</v>
      </c>
      <c r="I91" s="88" t="s">
        <v>279</v>
      </c>
      <c r="J91" s="1" t="s">
        <v>366</v>
      </c>
      <c r="K91" s="90" t="str">
        <f>If(C$20 = 0,  Ceiling(($C$19 / VLOOKUp(Concat("$", Concat(J91, ".Search")) ,U$4:AB$780, 4, false) * VLOOKUp(Concat("$", Concat(J91, ".Search")) ,U$4:AB$780, 8, false) / AZ),1) * AZ, 
    If(VLOOKUp(Concat("$", Concat(J91, ".Search")) ,U$4:AB$780, 5, false) = 0 , "N/A", 
        Max( 
             Ceiling(($C$20 / (VLOOKUp(Concat("$", Concat(J91, ".Search")) ,U$4:AB$780, 5, false) * VLOOKUp(Concat("$", Concat(J91, ".Search")) ,U$4:AB$780, 6, false)* (1 - DiskOverprovisioning))) / AZ,1) * AZ , 
             Ceiling(($C$19 / VLOOKUp(Concat("$", Concat(J91, ".Search")) ,U$4:AB$780, 4, false) / AZ),1) * AZ
           ) * VLOOKUp(Concat("$", Concat(J91, ".Search")) ,U$4:AB$780, 8, false)
     )
 )</f>
        <v>N/A</v>
      </c>
      <c r="L91" s="1"/>
      <c r="M91" s="91" t="s">
        <v>348</v>
      </c>
      <c r="N91" s="92" t="s">
        <v>279</v>
      </c>
      <c r="O91" s="93" t="s">
        <v>279</v>
      </c>
      <c r="P91" s="94">
        <f t="shared" si="1"/>
        <v>0</v>
      </c>
      <c r="Q91" s="1" t="s">
        <v>366</v>
      </c>
      <c r="R91" s="94" t="str">
        <f t="shared" si="2"/>
        <v>N/A</v>
      </c>
      <c r="S91" s="92" t="str">
        <f t="shared" si="3"/>
        <v>N/A</v>
      </c>
      <c r="T91" s="1"/>
      <c r="U91" s="101" t="s">
        <v>367</v>
      </c>
      <c r="V91" s="91" t="s">
        <v>368</v>
      </c>
      <c r="W91" s="102">
        <v>2.0</v>
      </c>
      <c r="X91" s="102">
        <v>4.0</v>
      </c>
      <c r="Y91" s="102">
        <v>0.0</v>
      </c>
      <c r="Z91" s="103">
        <v>0.0</v>
      </c>
      <c r="AA91" s="104" t="s">
        <v>300</v>
      </c>
      <c r="AB91" s="105">
        <v>41.05</v>
      </c>
      <c r="AC91" s="1"/>
      <c r="AD91" s="86">
        <f>if(Miscellaneous!E91*AWS!C$5&gt; 256, "", Miscellaneous!E91*AWS!C$5)</f>
        <v>90</v>
      </c>
      <c r="AE91" s="110"/>
      <c r="AF91" s="110"/>
      <c r="AG91" s="110"/>
    </row>
    <row r="92">
      <c r="A92" s="1"/>
      <c r="B92" s="1"/>
      <c r="C92" s="1"/>
      <c r="D92" s="1"/>
      <c r="E92" s="1"/>
      <c r="F92" s="1"/>
      <c r="G92" s="1"/>
      <c r="H92" s="71" t="s">
        <v>352</v>
      </c>
      <c r="I92" s="88" t="s">
        <v>279</v>
      </c>
      <c r="J92" s="1" t="s">
        <v>369</v>
      </c>
      <c r="K92" s="90" t="str">
        <f>If(C$20 = 0,  Ceiling(($C$19 / VLOOKUp(Concat("$", Concat(J92, ".Search")) ,U$4:AB$780, 4, false) * VLOOKUp(Concat("$", Concat(J92, ".Search")) ,U$4:AB$780, 8, false) / AZ),1) * AZ, 
    If(VLOOKUp(Concat("$", Concat(J92, ".Search")) ,U$4:AB$780, 5, false) = 0 , "N/A", 
        Max( 
             Ceiling(($C$20 / (VLOOKUp(Concat("$", Concat(J92, ".Search")) ,U$4:AB$780, 5, false) * VLOOKUp(Concat("$", Concat(J92, ".Search")) ,U$4:AB$780, 6, false)* (1 - DiskOverprovisioning))) / AZ,1) * AZ , 
             Ceiling(($C$19 / VLOOKUp(Concat("$", Concat(J92, ".Search")) ,U$4:AB$780, 4, false) / AZ),1) * AZ
           ) * VLOOKUp(Concat("$", Concat(J92, ".Search")) ,U$4:AB$780, 8, false)
     )
 )</f>
        <v>N/A</v>
      </c>
      <c r="L92" s="1"/>
      <c r="M92" s="91" t="s">
        <v>352</v>
      </c>
      <c r="N92" s="92" t="s">
        <v>279</v>
      </c>
      <c r="O92" s="93" t="s">
        <v>279</v>
      </c>
      <c r="P92" s="94">
        <f t="shared" si="1"/>
        <v>0</v>
      </c>
      <c r="Q92" s="1" t="s">
        <v>369</v>
      </c>
      <c r="R92" s="94" t="str">
        <f t="shared" si="2"/>
        <v>N/A</v>
      </c>
      <c r="S92" s="92" t="str">
        <f t="shared" si="3"/>
        <v>N/A</v>
      </c>
      <c r="T92" s="1"/>
      <c r="U92" s="101" t="s">
        <v>370</v>
      </c>
      <c r="V92" s="91" t="s">
        <v>371</v>
      </c>
      <c r="W92" s="102">
        <v>4.0</v>
      </c>
      <c r="X92" s="102">
        <v>8.0</v>
      </c>
      <c r="Y92" s="102">
        <v>0.0</v>
      </c>
      <c r="Z92" s="103">
        <v>0.0</v>
      </c>
      <c r="AA92" s="104" t="s">
        <v>300</v>
      </c>
      <c r="AB92" s="105">
        <v>82.1</v>
      </c>
      <c r="AC92" s="1"/>
      <c r="AD92" s="86">
        <f>if(Miscellaneous!E92*AWS!C$5&gt; 256, "", Miscellaneous!E92*AWS!C$5)</f>
        <v>91</v>
      </c>
      <c r="AE92" s="110"/>
      <c r="AF92" s="110"/>
      <c r="AG92" s="110"/>
    </row>
    <row r="93">
      <c r="A93" s="1"/>
      <c r="B93" s="1"/>
      <c r="C93" s="1"/>
      <c r="D93" s="1"/>
      <c r="E93" s="1"/>
      <c r="F93" s="1"/>
      <c r="G93" s="1"/>
      <c r="H93" s="71" t="s">
        <v>355</v>
      </c>
      <c r="I93" s="88" t="s">
        <v>279</v>
      </c>
      <c r="J93" s="1" t="s">
        <v>372</v>
      </c>
      <c r="K93" s="90" t="str">
        <f>If(C$20 = 0,  Ceiling(($C$19 / VLOOKUp(Concat("$", Concat(J93, ".Search")) ,U$4:AB$780, 4, false) * VLOOKUp(Concat("$", Concat(J93, ".Search")) ,U$4:AB$780, 8, false) / AZ),1) * AZ, 
    If(VLOOKUp(Concat("$", Concat(J93, ".Search")) ,U$4:AB$780, 5, false) = 0 , "N/A", 
        Max( 
             Ceiling(($C$20 / (VLOOKUp(Concat("$", Concat(J93, ".Search")) ,U$4:AB$780, 5, false) * VLOOKUp(Concat("$", Concat(J93, ".Search")) ,U$4:AB$780, 6, false)* (1 - DiskOverprovisioning))) / AZ,1) * AZ , 
             Ceiling(($C$19 / VLOOKUp(Concat("$", Concat(J93, ".Search")) ,U$4:AB$780, 4, false) / AZ),1) * AZ
           ) * VLOOKUp(Concat("$", Concat(J93, ".Search")) ,U$4:AB$780, 8, false)
     )
 )</f>
        <v>N/A</v>
      </c>
      <c r="L93" s="1"/>
      <c r="M93" s="91" t="s">
        <v>355</v>
      </c>
      <c r="N93" s="92" t="s">
        <v>279</v>
      </c>
      <c r="O93" s="93" t="s">
        <v>279</v>
      </c>
      <c r="P93" s="94">
        <f t="shared" si="1"/>
        <v>0</v>
      </c>
      <c r="Q93" s="1" t="s">
        <v>372</v>
      </c>
      <c r="R93" s="94" t="str">
        <f t="shared" si="2"/>
        <v>N/A</v>
      </c>
      <c r="S93" s="92" t="str">
        <f t="shared" si="3"/>
        <v>N/A</v>
      </c>
      <c r="T93" s="1"/>
      <c r="U93" s="101" t="s">
        <v>370</v>
      </c>
      <c r="V93" s="91" t="s">
        <v>373</v>
      </c>
      <c r="W93" s="102">
        <v>8.0</v>
      </c>
      <c r="X93" s="102">
        <v>16.0</v>
      </c>
      <c r="Y93" s="102">
        <v>0.0</v>
      </c>
      <c r="Z93" s="103">
        <v>0.0</v>
      </c>
      <c r="AA93" s="104" t="s">
        <v>300</v>
      </c>
      <c r="AB93" s="105">
        <v>164.18</v>
      </c>
      <c r="AC93" s="1"/>
      <c r="AD93" s="86">
        <f>if(Miscellaneous!E93*AWS!C$5&gt; 256, "", Miscellaneous!E93*AWS!C$5)</f>
        <v>92</v>
      </c>
      <c r="AE93" s="110"/>
      <c r="AF93" s="110"/>
      <c r="AG93" s="110"/>
    </row>
    <row r="94">
      <c r="A94" s="1"/>
      <c r="B94" s="1"/>
      <c r="C94" s="1"/>
      <c r="D94" s="1"/>
      <c r="E94" s="1"/>
      <c r="F94" s="1"/>
      <c r="G94" s="1"/>
      <c r="H94" s="71" t="s">
        <v>358</v>
      </c>
      <c r="I94" s="88" t="s">
        <v>279</v>
      </c>
      <c r="J94" s="1" t="s">
        <v>374</v>
      </c>
      <c r="K94" s="90" t="str">
        <f>If(C$20 = 0,  Ceiling(($C$19 / VLOOKUp(Concat("$", Concat(J94, ".Search")) ,U$4:AB$780, 4, false) * VLOOKUp(Concat("$", Concat(J94, ".Search")) ,U$4:AB$780, 8, false) / AZ),1) * AZ, 
    If(VLOOKUp(Concat("$", Concat(J94, ".Search")) ,U$4:AB$780, 5, false) = 0 , "N/A", 
        Max( 
             Ceiling(($C$20 / (VLOOKUp(Concat("$", Concat(J94, ".Search")) ,U$4:AB$780, 5, false) * VLOOKUp(Concat("$", Concat(J94, ".Search")) ,U$4:AB$780, 6, false)* (1 - DiskOverprovisioning))) / AZ,1) * AZ , 
             Ceiling(($C$19 / VLOOKUp(Concat("$", Concat(J94, ".Search")) ,U$4:AB$780, 4, false) / AZ),1) * AZ
           ) * VLOOKUp(Concat("$", Concat(J94, ".Search")) ,U$4:AB$780, 8, false)
     )
 )</f>
        <v>N/A</v>
      </c>
      <c r="L94" s="1"/>
      <c r="M94" s="91" t="s">
        <v>358</v>
      </c>
      <c r="N94" s="92" t="s">
        <v>279</v>
      </c>
      <c r="O94" s="93" t="s">
        <v>279</v>
      </c>
      <c r="P94" s="94">
        <f t="shared" si="1"/>
        <v>0</v>
      </c>
      <c r="Q94" s="1" t="s">
        <v>374</v>
      </c>
      <c r="R94" s="94" t="str">
        <f t="shared" si="2"/>
        <v>N/A</v>
      </c>
      <c r="S94" s="92" t="str">
        <f t="shared" si="3"/>
        <v>N/A</v>
      </c>
      <c r="T94" s="1"/>
      <c r="U94" s="101" t="s">
        <v>370</v>
      </c>
      <c r="V94" s="91" t="s">
        <v>375</v>
      </c>
      <c r="W94" s="102">
        <v>16.0</v>
      </c>
      <c r="X94" s="102">
        <v>32.0</v>
      </c>
      <c r="Y94" s="102">
        <v>0.0</v>
      </c>
      <c r="Z94" s="103">
        <v>0.0</v>
      </c>
      <c r="AA94" s="104" t="s">
        <v>300</v>
      </c>
      <c r="AB94" s="105">
        <v>328.37</v>
      </c>
      <c r="AC94" s="1"/>
      <c r="AD94" s="86">
        <f>if(Miscellaneous!E94*AWS!C$5&gt; 256, "", Miscellaneous!E94*AWS!C$5)</f>
        <v>93</v>
      </c>
      <c r="AE94" s="110"/>
      <c r="AF94" s="110"/>
      <c r="AG94" s="110"/>
    </row>
    <row r="95">
      <c r="A95" s="1"/>
      <c r="B95" s="1"/>
      <c r="C95" s="1"/>
      <c r="D95" s="1"/>
      <c r="E95" s="1"/>
      <c r="F95" s="1"/>
      <c r="G95" s="1"/>
      <c r="H95" s="71" t="s">
        <v>360</v>
      </c>
      <c r="I95" s="88" t="s">
        <v>279</v>
      </c>
      <c r="J95" s="1" t="s">
        <v>376</v>
      </c>
      <c r="K95" s="90" t="str">
        <f>If(C$20 = 0,  Ceiling(($C$19 / VLOOKUp(Concat("$", Concat(J95, ".Search")) ,U$4:AB$780, 4, false) * VLOOKUp(Concat("$", Concat(J95, ".Search")) ,U$4:AB$780, 8, false) / AZ),1) * AZ, 
    If(VLOOKUp(Concat("$", Concat(J95, ".Search")) ,U$4:AB$780, 5, false) = 0 , "N/A", 
        Max( 
             Ceiling(($C$20 / (VLOOKUp(Concat("$", Concat(J95, ".Search")) ,U$4:AB$780, 5, false) * VLOOKUp(Concat("$", Concat(J95, ".Search")) ,U$4:AB$780, 6, false)* (1 - DiskOverprovisioning))) / AZ,1) * AZ , 
             Ceiling(($C$19 / VLOOKUp(Concat("$", Concat(J95, ".Search")) ,U$4:AB$780, 4, false) / AZ),1) * AZ
           ) * VLOOKUp(Concat("$", Concat(J95, ".Search")) ,U$4:AB$780, 8, false)
     )
 )</f>
        <v>N/A</v>
      </c>
      <c r="L95" s="1"/>
      <c r="M95" s="91" t="s">
        <v>360</v>
      </c>
      <c r="N95" s="92" t="s">
        <v>279</v>
      </c>
      <c r="O95" s="93" t="s">
        <v>279</v>
      </c>
      <c r="P95" s="94">
        <f t="shared" si="1"/>
        <v>0</v>
      </c>
      <c r="Q95" s="1" t="s">
        <v>376</v>
      </c>
      <c r="R95" s="94" t="str">
        <f t="shared" si="2"/>
        <v>N/A</v>
      </c>
      <c r="S95" s="92" t="str">
        <f t="shared" si="3"/>
        <v>N/A</v>
      </c>
      <c r="T95" s="1"/>
      <c r="U95" s="101" t="s">
        <v>370</v>
      </c>
      <c r="V95" s="91" t="s">
        <v>377</v>
      </c>
      <c r="W95" s="102">
        <v>32.0</v>
      </c>
      <c r="X95" s="102">
        <v>64.0</v>
      </c>
      <c r="Y95" s="102">
        <v>0.0</v>
      </c>
      <c r="Z95" s="103">
        <v>0.0</v>
      </c>
      <c r="AA95" s="104" t="s">
        <v>308</v>
      </c>
      <c r="AB95" s="105">
        <v>656.74</v>
      </c>
      <c r="AC95" s="1"/>
      <c r="AD95" s="86">
        <f>if(Miscellaneous!E95*AWS!C$5&gt; 256, "", Miscellaneous!E95*AWS!C$5)</f>
        <v>94</v>
      </c>
      <c r="AE95" s="110"/>
      <c r="AF95" s="110"/>
      <c r="AG95" s="110"/>
    </row>
    <row r="96">
      <c r="A96" s="1"/>
      <c r="B96" s="1"/>
      <c r="C96" s="1"/>
      <c r="D96" s="1"/>
      <c r="E96" s="1"/>
      <c r="F96" s="1"/>
      <c r="G96" s="1"/>
      <c r="H96" s="71" t="s">
        <v>362</v>
      </c>
      <c r="I96" s="88" t="s">
        <v>279</v>
      </c>
      <c r="J96" s="1" t="s">
        <v>378</v>
      </c>
      <c r="K96" s="90" t="str">
        <f>If(C$20 = 0,  Ceiling(($C$19 / VLOOKUp(Concat("$", Concat(J96, ".Search")) ,U$4:AB$780, 4, false) * VLOOKUp(Concat("$", Concat(J96, ".Search")) ,U$4:AB$780, 8, false) / AZ),1) * AZ, 
    If(VLOOKUp(Concat("$", Concat(J96, ".Search")) ,U$4:AB$780, 5, false) = 0 , "N/A", 
        Max( 
             Ceiling(($C$20 / (VLOOKUp(Concat("$", Concat(J96, ".Search")) ,U$4:AB$780, 5, false) * VLOOKUp(Concat("$", Concat(J96, ".Search")) ,U$4:AB$780, 6, false)* (1 - DiskOverprovisioning))) / AZ,1) * AZ , 
             Ceiling(($C$19 / VLOOKUp(Concat("$", Concat(J96, ".Search")) ,U$4:AB$780, 4, false) / AZ),1) * AZ
           ) * VLOOKUp(Concat("$", Concat(J96, ".Search")) ,U$4:AB$780, 8, false)
     )
 )</f>
        <v>N/A</v>
      </c>
      <c r="L96" s="1"/>
      <c r="M96" s="91" t="s">
        <v>362</v>
      </c>
      <c r="N96" s="92" t="s">
        <v>279</v>
      </c>
      <c r="O96" s="93" t="s">
        <v>279</v>
      </c>
      <c r="P96" s="94">
        <f t="shared" si="1"/>
        <v>0</v>
      </c>
      <c r="Q96" s="1" t="s">
        <v>378</v>
      </c>
      <c r="R96" s="94" t="str">
        <f t="shared" si="2"/>
        <v>N/A</v>
      </c>
      <c r="S96" s="92" t="str">
        <f t="shared" si="3"/>
        <v>N/A</v>
      </c>
      <c r="T96" s="1"/>
      <c r="U96" s="101" t="s">
        <v>370</v>
      </c>
      <c r="V96" s="91" t="s">
        <v>379</v>
      </c>
      <c r="W96" s="102">
        <v>48.0</v>
      </c>
      <c r="X96" s="102">
        <v>96.0</v>
      </c>
      <c r="Y96" s="102">
        <v>0.0</v>
      </c>
      <c r="Z96" s="103">
        <v>0.0</v>
      </c>
      <c r="AA96" s="104" t="s">
        <v>311</v>
      </c>
      <c r="AB96" s="105">
        <v>985.11</v>
      </c>
      <c r="AC96" s="1"/>
      <c r="AD96" s="86">
        <f>if(Miscellaneous!E96*AWS!C$5&gt; 256, "", Miscellaneous!E96*AWS!C$5)</f>
        <v>95</v>
      </c>
      <c r="AE96" s="110"/>
      <c r="AF96" s="110"/>
      <c r="AG96" s="110"/>
    </row>
    <row r="97">
      <c r="A97" s="1"/>
      <c r="B97" s="1"/>
      <c r="C97" s="1"/>
      <c r="D97" s="1"/>
      <c r="E97" s="1"/>
      <c r="F97" s="1"/>
      <c r="G97" s="1"/>
      <c r="H97" s="71" t="s">
        <v>366</v>
      </c>
      <c r="I97" s="88" t="s">
        <v>279</v>
      </c>
      <c r="J97" s="1" t="s">
        <v>380</v>
      </c>
      <c r="K97" s="90" t="str">
        <f>If(C$20 = 0,  Ceiling(($C$19 / VLOOKUp(Concat("$", Concat(J97, ".Search")) ,U$4:AB$780, 4, false) * VLOOKUp(Concat("$", Concat(J97, ".Search")) ,U$4:AB$780, 8, false) / AZ),1) * AZ, 
    If(VLOOKUp(Concat("$", Concat(J97, ".Search")) ,U$4:AB$780, 5, false) = 0 , "N/A", 
        Max( 
             Ceiling(($C$20 / (VLOOKUp(Concat("$", Concat(J97, ".Search")) ,U$4:AB$780, 5, false) * VLOOKUp(Concat("$", Concat(J97, ".Search")) ,U$4:AB$780, 6, false)* (1 - DiskOverprovisioning))) / AZ,1) * AZ , 
             Ceiling(($C$19 / VLOOKUp(Concat("$", Concat(J97, ".Search")) ,U$4:AB$780, 4, false) / AZ),1) * AZ
           ) * VLOOKUp(Concat("$", Concat(J97, ".Search")) ,U$4:AB$780, 8, false)
     )
 )</f>
        <v>N/A</v>
      </c>
      <c r="L97" s="1"/>
      <c r="M97" s="91" t="s">
        <v>366</v>
      </c>
      <c r="N97" s="92" t="s">
        <v>279</v>
      </c>
      <c r="O97" s="93" t="s">
        <v>279</v>
      </c>
      <c r="P97" s="94">
        <f t="shared" si="1"/>
        <v>0</v>
      </c>
      <c r="Q97" s="1" t="s">
        <v>380</v>
      </c>
      <c r="R97" s="94" t="str">
        <f t="shared" si="2"/>
        <v>N/A</v>
      </c>
      <c r="S97" s="92" t="str">
        <f t="shared" si="3"/>
        <v>N/A</v>
      </c>
      <c r="T97" s="1"/>
      <c r="U97" s="101" t="s">
        <v>370</v>
      </c>
      <c r="V97" s="91" t="s">
        <v>381</v>
      </c>
      <c r="W97" s="102">
        <v>64.0</v>
      </c>
      <c r="X97" s="102">
        <v>128.0</v>
      </c>
      <c r="Y97" s="102">
        <v>0.0</v>
      </c>
      <c r="Z97" s="103">
        <v>0.0</v>
      </c>
      <c r="AA97" s="104" t="s">
        <v>208</v>
      </c>
      <c r="AB97" s="105">
        <v>1313.47</v>
      </c>
      <c r="AC97" s="1"/>
      <c r="AD97" s="86">
        <f>if(Miscellaneous!E97*AWS!C$5&gt; 256, "", Miscellaneous!E97*AWS!C$5)</f>
        <v>96</v>
      </c>
      <c r="AE97" s="110"/>
      <c r="AF97" s="110"/>
      <c r="AG97" s="110"/>
    </row>
    <row r="98">
      <c r="A98" s="1"/>
      <c r="B98" s="1"/>
      <c r="C98" s="1"/>
      <c r="D98" s="1"/>
      <c r="E98" s="1"/>
      <c r="F98" s="1"/>
      <c r="G98" s="1"/>
      <c r="H98" s="71" t="s">
        <v>369</v>
      </c>
      <c r="I98" s="88" t="s">
        <v>279</v>
      </c>
      <c r="J98" s="1" t="s">
        <v>382</v>
      </c>
      <c r="K98" s="90" t="str">
        <f>If(C$20 = 0,  Ceiling(($C$19 / VLOOKUp(Concat("$", Concat(J98, ".Search")) ,U$4:AB$780, 4, false) * VLOOKUp(Concat("$", Concat(J98, ".Search")) ,U$4:AB$780, 8, false) / AZ),1) * AZ, 
    If(VLOOKUp(Concat("$", Concat(J98, ".Search")) ,U$4:AB$780, 5, false) = 0 , "N/A", 
        Max( 
             Ceiling(($C$20 / (VLOOKUp(Concat("$", Concat(J98, ".Search")) ,U$4:AB$780, 5, false) * VLOOKUp(Concat("$", Concat(J98, ".Search")) ,U$4:AB$780, 6, false)* (1 - DiskOverprovisioning))) / AZ,1) * AZ , 
             Ceiling(($C$19 / VLOOKUp(Concat("$", Concat(J98, ".Search")) ,U$4:AB$780, 4, false) / AZ),1) * AZ
           ) * VLOOKUp(Concat("$", Concat(J98, ".Search")) ,U$4:AB$780, 8, false)
     )
 )</f>
        <v>N/A</v>
      </c>
      <c r="L98" s="1"/>
      <c r="M98" s="91" t="s">
        <v>369</v>
      </c>
      <c r="N98" s="92" t="s">
        <v>279</v>
      </c>
      <c r="O98" s="93" t="s">
        <v>279</v>
      </c>
      <c r="P98" s="94">
        <f t="shared" si="1"/>
        <v>0</v>
      </c>
      <c r="Q98" s="1" t="s">
        <v>382</v>
      </c>
      <c r="R98" s="94" t="str">
        <f t="shared" si="2"/>
        <v>N/A</v>
      </c>
      <c r="S98" s="92" t="str">
        <f t="shared" si="3"/>
        <v>N/A</v>
      </c>
      <c r="T98" s="1"/>
      <c r="U98" s="101" t="s">
        <v>370</v>
      </c>
      <c r="V98" s="91" t="s">
        <v>383</v>
      </c>
      <c r="W98" s="102">
        <v>96.0</v>
      </c>
      <c r="X98" s="102">
        <v>192.0</v>
      </c>
      <c r="Y98" s="102">
        <v>0.0</v>
      </c>
      <c r="Z98" s="103">
        <v>0.0</v>
      </c>
      <c r="AA98" s="104" t="s">
        <v>315</v>
      </c>
      <c r="AB98" s="105">
        <v>1970.21</v>
      </c>
      <c r="AC98" s="1"/>
      <c r="AD98" s="86">
        <f>if(Miscellaneous!E98*AWS!C$5&gt; 256, "", Miscellaneous!E98*AWS!C$5)</f>
        <v>97</v>
      </c>
      <c r="AE98" s="110"/>
      <c r="AF98" s="110"/>
      <c r="AG98" s="110"/>
    </row>
    <row r="99">
      <c r="A99" s="1"/>
      <c r="B99" s="1"/>
      <c r="C99" s="1"/>
      <c r="D99" s="1"/>
      <c r="E99" s="1"/>
      <c r="F99" s="1"/>
      <c r="G99" s="1"/>
      <c r="H99" s="71" t="s">
        <v>372</v>
      </c>
      <c r="I99" s="88" t="s">
        <v>279</v>
      </c>
      <c r="J99" s="1" t="s">
        <v>384</v>
      </c>
      <c r="K99" s="90" t="str">
        <f>If(C$20 = 0,  Ceiling(($C$19 / VLOOKUp(Concat("$", Concat(J99, ".Search")) ,U$4:AB$780, 4, false) * VLOOKUp(Concat("$", Concat(J99, ".Search")) ,U$4:AB$780, 8, false) / AZ),1) * AZ, 
    If(VLOOKUp(Concat("$", Concat(J99, ".Search")) ,U$4:AB$780, 5, false) = 0 , "N/A", 
        Max( 
             Ceiling(($C$20 / (VLOOKUp(Concat("$", Concat(J99, ".Search")) ,U$4:AB$780, 5, false) * VLOOKUp(Concat("$", Concat(J99, ".Search")) ,U$4:AB$780, 6, false)* (1 - DiskOverprovisioning))) / AZ,1) * AZ , 
             Ceiling(($C$19 / VLOOKUp(Concat("$", Concat(J99, ".Search")) ,U$4:AB$780, 4, false) / AZ),1) * AZ
           ) * VLOOKUp(Concat("$", Concat(J99, ".Search")) ,U$4:AB$780, 8, false)
     )
 )</f>
        <v>N/A</v>
      </c>
      <c r="L99" s="1"/>
      <c r="M99" s="91" t="s">
        <v>372</v>
      </c>
      <c r="N99" s="92" t="s">
        <v>279</v>
      </c>
      <c r="O99" s="93" t="s">
        <v>279</v>
      </c>
      <c r="P99" s="94">
        <f t="shared" si="1"/>
        <v>0</v>
      </c>
      <c r="Q99" s="1" t="s">
        <v>384</v>
      </c>
      <c r="R99" s="94" t="str">
        <f t="shared" si="2"/>
        <v>N/A</v>
      </c>
      <c r="S99" s="92" t="str">
        <f t="shared" si="3"/>
        <v>N/A</v>
      </c>
      <c r="T99" s="1"/>
      <c r="U99" s="101" t="s">
        <v>370</v>
      </c>
      <c r="V99" s="91" t="s">
        <v>385</v>
      </c>
      <c r="W99" s="102">
        <v>128.0</v>
      </c>
      <c r="X99" s="102">
        <v>256.0</v>
      </c>
      <c r="Y99" s="102">
        <v>0.0</v>
      </c>
      <c r="Z99" s="103">
        <v>0.0</v>
      </c>
      <c r="AA99" s="104" t="s">
        <v>294</v>
      </c>
      <c r="AB99" s="105">
        <v>2626.95</v>
      </c>
      <c r="AC99" s="1"/>
      <c r="AD99" s="86">
        <f>if(Miscellaneous!E99*AWS!C$5&gt; 256, "", Miscellaneous!E99*AWS!C$5)</f>
        <v>98</v>
      </c>
      <c r="AE99" s="110"/>
      <c r="AF99" s="110"/>
      <c r="AG99" s="110"/>
    </row>
    <row r="100">
      <c r="A100" s="1"/>
      <c r="B100" s="1"/>
      <c r="C100" s="1"/>
      <c r="D100" s="1"/>
      <c r="E100" s="1"/>
      <c r="F100" s="1"/>
      <c r="G100" s="1"/>
      <c r="H100" s="71" t="s">
        <v>374</v>
      </c>
      <c r="I100" s="88" t="s">
        <v>279</v>
      </c>
      <c r="J100" s="1" t="s">
        <v>386</v>
      </c>
      <c r="K100" s="90" t="str">
        <f>If(C$20 = 0,  Ceiling(($C$19 / VLOOKUp(Concat("$", Concat(J100, ".Search")) ,U$4:AB$780, 4, false) * VLOOKUp(Concat("$", Concat(J100, ".Search")) ,U$4:AB$780, 8, false) / AZ),1) * AZ, 
    If(VLOOKUp(Concat("$", Concat(J100, ".Search")) ,U$4:AB$780, 5, false) = 0 , "N/A", 
        Max( 
             Ceiling(($C$20 / (VLOOKUp(Concat("$", Concat(J100, ".Search")) ,U$4:AB$780, 5, false) * VLOOKUp(Concat("$", Concat(J100, ".Search")) ,U$4:AB$780, 6, false)* (1 - DiskOverprovisioning))) / AZ,1) * AZ , 
             Ceiling(($C$19 / VLOOKUp(Concat("$", Concat(J100, ".Search")) ,U$4:AB$780, 4, false) / AZ),1) * AZ
           ) * VLOOKUp(Concat("$", Concat(J100, ".Search")) ,U$4:AB$780, 8, false)
     )
 )</f>
        <v>N/A</v>
      </c>
      <c r="L100" s="1"/>
      <c r="M100" s="91" t="s">
        <v>374</v>
      </c>
      <c r="N100" s="92" t="s">
        <v>279</v>
      </c>
      <c r="O100" s="93" t="s">
        <v>279</v>
      </c>
      <c r="P100" s="94">
        <f t="shared" si="1"/>
        <v>0</v>
      </c>
      <c r="Q100" s="1" t="s">
        <v>386</v>
      </c>
      <c r="R100" s="94" t="str">
        <f t="shared" si="2"/>
        <v>N/A</v>
      </c>
      <c r="S100" s="92" t="str">
        <f t="shared" si="3"/>
        <v>N/A</v>
      </c>
      <c r="T100" s="1"/>
      <c r="U100" s="101" t="s">
        <v>387</v>
      </c>
      <c r="V100" s="91" t="s">
        <v>388</v>
      </c>
      <c r="W100" s="102">
        <v>2.0</v>
      </c>
      <c r="X100" s="102">
        <v>4.0</v>
      </c>
      <c r="Y100" s="102">
        <v>1900.0</v>
      </c>
      <c r="Z100" s="103">
        <f>0.125/2</f>
        <v>0.0625</v>
      </c>
      <c r="AA100" s="104" t="s">
        <v>300</v>
      </c>
      <c r="AB100" s="105">
        <v>46.38</v>
      </c>
      <c r="AC100" s="1"/>
      <c r="AD100" s="86">
        <f>if(Miscellaneous!E100*AWS!C$5&gt; 256, "", Miscellaneous!E100*AWS!C$5)</f>
        <v>99</v>
      </c>
      <c r="AE100" s="110"/>
      <c r="AF100" s="110"/>
      <c r="AG100" s="110"/>
    </row>
    <row r="101">
      <c r="A101" s="1"/>
      <c r="B101" s="1"/>
      <c r="C101" s="1"/>
      <c r="D101" s="1"/>
      <c r="E101" s="1"/>
      <c r="F101" s="1"/>
      <c r="G101" s="1"/>
      <c r="H101" s="71" t="s">
        <v>376</v>
      </c>
      <c r="I101" s="88" t="s">
        <v>279</v>
      </c>
      <c r="J101" s="1" t="s">
        <v>389</v>
      </c>
      <c r="K101" s="90" t="str">
        <f>If(C$20 = 0,  Ceiling(($C$19 / VLOOKUp(Concat("$", Concat(J101, ".Search")) ,U$4:AB$780, 4, false) * VLOOKUp(Concat("$", Concat(J101, ".Search")) ,U$4:AB$780, 8, false) / AZ),1) * AZ, 
    If(VLOOKUp(Concat("$", Concat(J101, ".Search")) ,U$4:AB$780, 5, false) = 0 , "N/A", 
        Max( 
             Ceiling(($C$20 / (VLOOKUp(Concat("$", Concat(J101, ".Search")) ,U$4:AB$780, 5, false) * VLOOKUp(Concat("$", Concat(J101, ".Search")) ,U$4:AB$780, 6, false)* (1 - DiskOverprovisioning))) / AZ,1) * AZ , 
             Ceiling(($C$19 / VLOOKUp(Concat("$", Concat(J101, ".Search")) ,U$4:AB$780, 4, false) / AZ),1) * AZ
           ) * VLOOKUp(Concat("$", Concat(J101, ".Search")) ,U$4:AB$780, 8, false)
     )
 )</f>
        <v>N/A</v>
      </c>
      <c r="L101" s="1"/>
      <c r="M101" s="91" t="s">
        <v>376</v>
      </c>
      <c r="N101" s="92" t="s">
        <v>279</v>
      </c>
      <c r="O101" s="93" t="s">
        <v>279</v>
      </c>
      <c r="P101" s="94">
        <f t="shared" si="1"/>
        <v>0</v>
      </c>
      <c r="Q101" s="1" t="s">
        <v>389</v>
      </c>
      <c r="R101" s="94" t="str">
        <f t="shared" si="2"/>
        <v>N/A</v>
      </c>
      <c r="S101" s="92" t="str">
        <f t="shared" si="3"/>
        <v>N/A</v>
      </c>
      <c r="T101" s="1"/>
      <c r="U101" s="101" t="s">
        <v>387</v>
      </c>
      <c r="V101" s="91" t="s">
        <v>390</v>
      </c>
      <c r="W101" s="102">
        <v>4.0</v>
      </c>
      <c r="X101" s="102">
        <v>8.0</v>
      </c>
      <c r="Y101" s="102">
        <v>1900.0</v>
      </c>
      <c r="Z101" s="103">
        <v>0.125</v>
      </c>
      <c r="AA101" s="104" t="s">
        <v>300</v>
      </c>
      <c r="AB101" s="105">
        <v>92.75</v>
      </c>
      <c r="AC101" s="1"/>
      <c r="AD101" s="86">
        <f>if(Miscellaneous!E101*AWS!C$5&gt; 256, "", Miscellaneous!E101*AWS!C$5)</f>
        <v>100</v>
      </c>
      <c r="AE101" s="110"/>
      <c r="AF101" s="110"/>
      <c r="AG101" s="110"/>
    </row>
    <row r="102">
      <c r="A102" s="1"/>
      <c r="B102" s="1"/>
      <c r="C102" s="1"/>
      <c r="D102" s="1"/>
      <c r="E102" s="1"/>
      <c r="F102" s="1"/>
      <c r="G102" s="1"/>
      <c r="H102" s="71" t="s">
        <v>378</v>
      </c>
      <c r="I102" s="88" t="s">
        <v>279</v>
      </c>
      <c r="J102" s="1" t="s">
        <v>391</v>
      </c>
      <c r="K102" s="90" t="str">
        <f>If(C$20 = 0,  Ceiling(($C$19 / VLOOKUp(Concat("$", Concat(J102, ".Search")) ,U$4:AB$780, 4, false) * VLOOKUp(Concat("$", Concat(J102, ".Search")) ,U$4:AB$780, 8, false) / AZ),1) * AZ, 
    If(VLOOKUp(Concat("$", Concat(J102, ".Search")) ,U$4:AB$780, 5, false) = 0 , "N/A", 
        Max( 
             Ceiling(($C$20 / (VLOOKUp(Concat("$", Concat(J102, ".Search")) ,U$4:AB$780, 5, false) * VLOOKUp(Concat("$", Concat(J102, ".Search")) ,U$4:AB$780, 6, false)* (1 - DiskOverprovisioning))) / AZ,1) * AZ , 
             Ceiling(($C$19 / VLOOKUp(Concat("$", Concat(J102, ".Search")) ,U$4:AB$780, 4, false) / AZ),1) * AZ
           ) * VLOOKUp(Concat("$", Concat(J102, ".Search")) ,U$4:AB$780, 8, false)
     )
 )</f>
        <v>N/A</v>
      </c>
      <c r="L102" s="1"/>
      <c r="M102" s="91" t="s">
        <v>378</v>
      </c>
      <c r="N102" s="92" t="s">
        <v>279</v>
      </c>
      <c r="O102" s="93" t="s">
        <v>279</v>
      </c>
      <c r="P102" s="94">
        <f t="shared" si="1"/>
        <v>0</v>
      </c>
      <c r="Q102" s="1" t="s">
        <v>391</v>
      </c>
      <c r="R102" s="94" t="str">
        <f t="shared" si="2"/>
        <v>N/A</v>
      </c>
      <c r="S102" s="92" t="str">
        <f t="shared" si="3"/>
        <v>N/A</v>
      </c>
      <c r="T102" s="1"/>
      <c r="U102" s="101" t="s">
        <v>387</v>
      </c>
      <c r="V102" s="91" t="s">
        <v>392</v>
      </c>
      <c r="W102" s="102">
        <v>8.0</v>
      </c>
      <c r="X102" s="102">
        <v>16.0</v>
      </c>
      <c r="Y102" s="102">
        <v>1900.0</v>
      </c>
      <c r="Z102" s="103">
        <v>0.25</v>
      </c>
      <c r="AA102" s="104" t="s">
        <v>300</v>
      </c>
      <c r="AB102" s="105">
        <v>185.49</v>
      </c>
      <c r="AC102" s="1"/>
      <c r="AD102" s="86">
        <f>if(Miscellaneous!E102*AWS!C$5&gt; 256, "", Miscellaneous!E102*AWS!C$5)</f>
        <v>101</v>
      </c>
      <c r="AE102" s="110"/>
      <c r="AF102" s="110"/>
      <c r="AG102" s="110"/>
    </row>
    <row r="103">
      <c r="A103" s="1"/>
      <c r="B103" s="1"/>
      <c r="C103" s="1"/>
      <c r="D103" s="1"/>
      <c r="E103" s="1"/>
      <c r="F103" s="1"/>
      <c r="G103" s="1"/>
      <c r="H103" s="71" t="s">
        <v>380</v>
      </c>
      <c r="I103" s="88" t="s">
        <v>279</v>
      </c>
      <c r="J103" s="1" t="s">
        <v>393</v>
      </c>
      <c r="K103" s="90" t="str">
        <f>If(C$20 = 0,  Ceiling(($C$19 / VLOOKUp(Concat("$", Concat(J103, ".Search")) ,U$4:AB$780, 4, false) * VLOOKUp(Concat("$", Concat(J103, ".Search")) ,U$4:AB$780, 8, false) / AZ),1) * AZ, 
    If(VLOOKUp(Concat("$", Concat(J103, ".Search")) ,U$4:AB$780, 5, false) = 0 , "N/A", 
        Max( 
             Ceiling(($C$20 / (VLOOKUp(Concat("$", Concat(J103, ".Search")) ,U$4:AB$780, 5, false) * VLOOKUp(Concat("$", Concat(J103, ".Search")) ,U$4:AB$780, 6, false)* (1 - DiskOverprovisioning))) / AZ,1) * AZ , 
             Ceiling(($C$19 / VLOOKUp(Concat("$", Concat(J103, ".Search")) ,U$4:AB$780, 4, false) / AZ),1) * AZ
           ) * VLOOKUp(Concat("$", Concat(J103, ".Search")) ,U$4:AB$780, 8, false)
     )
 )</f>
        <v>N/A</v>
      </c>
      <c r="L103" s="1"/>
      <c r="M103" s="91" t="s">
        <v>380</v>
      </c>
      <c r="N103" s="92" t="s">
        <v>279</v>
      </c>
      <c r="O103" s="93" t="s">
        <v>279</v>
      </c>
      <c r="P103" s="94">
        <f t="shared" si="1"/>
        <v>0</v>
      </c>
      <c r="Q103" s="1" t="s">
        <v>393</v>
      </c>
      <c r="R103" s="94" t="str">
        <f t="shared" si="2"/>
        <v>N/A</v>
      </c>
      <c r="S103" s="92" t="str">
        <f t="shared" si="3"/>
        <v>N/A</v>
      </c>
      <c r="T103" s="1"/>
      <c r="U103" s="101" t="s">
        <v>394</v>
      </c>
      <c r="V103" s="91" t="s">
        <v>395</v>
      </c>
      <c r="W103" s="102">
        <v>16.0</v>
      </c>
      <c r="X103" s="102">
        <v>32.0</v>
      </c>
      <c r="Y103" s="102">
        <v>1900.0</v>
      </c>
      <c r="Z103" s="103">
        <v>0.5</v>
      </c>
      <c r="AA103" s="104" t="s">
        <v>300</v>
      </c>
      <c r="AB103" s="105">
        <v>370.99</v>
      </c>
      <c r="AC103" s="1"/>
      <c r="AD103" s="86">
        <f>if(Miscellaneous!E103*AWS!C$5&gt; 256, "", Miscellaneous!E103*AWS!C$5)</f>
        <v>102</v>
      </c>
      <c r="AE103" s="110"/>
      <c r="AF103" s="110"/>
      <c r="AG103" s="110"/>
    </row>
    <row r="104">
      <c r="A104" s="1"/>
      <c r="B104" s="1"/>
      <c r="C104" s="1"/>
      <c r="D104" s="1"/>
      <c r="E104" s="1"/>
      <c r="F104" s="1"/>
      <c r="G104" s="1"/>
      <c r="H104" s="71" t="s">
        <v>382</v>
      </c>
      <c r="I104" s="88" t="s">
        <v>279</v>
      </c>
      <c r="J104" s="1" t="s">
        <v>396</v>
      </c>
      <c r="K104" s="90" t="str">
        <f>If(C$20 = 0,  Ceiling(($C$19 / VLOOKUp(Concat("$", Concat(J104, ".Search")) ,U$4:AB$780, 4, false) * VLOOKUp(Concat("$", Concat(J104, ".Search")) ,U$4:AB$780, 8, false) / AZ),1) * AZ, 
    If(VLOOKUp(Concat("$", Concat(J104, ".Search")) ,U$4:AB$780, 5, false) = 0 , "N/A", 
        Max( 
             Ceiling(($C$20 / (VLOOKUp(Concat("$", Concat(J104, ".Search")) ,U$4:AB$780, 5, false) * VLOOKUp(Concat("$", Concat(J104, ".Search")) ,U$4:AB$780, 6, false)* (1 - DiskOverprovisioning))) / AZ,1) * AZ , 
             Ceiling(($C$19 / VLOOKUp(Concat("$", Concat(J104, ".Search")) ,U$4:AB$780, 4, false) / AZ),1) * AZ
           ) * VLOOKUp(Concat("$", Concat(J104, ".Search")) ,U$4:AB$780, 8, false)
     )
 )</f>
        <v>N/A</v>
      </c>
      <c r="L104" s="1"/>
      <c r="M104" s="91" t="s">
        <v>382</v>
      </c>
      <c r="N104" s="92" t="s">
        <v>279</v>
      </c>
      <c r="O104" s="93" t="s">
        <v>279</v>
      </c>
      <c r="P104" s="94">
        <f t="shared" si="1"/>
        <v>0</v>
      </c>
      <c r="Q104" s="1" t="s">
        <v>396</v>
      </c>
      <c r="R104" s="94" t="str">
        <f t="shared" si="2"/>
        <v>N/A</v>
      </c>
      <c r="S104" s="92" t="str">
        <f t="shared" si="3"/>
        <v>N/A</v>
      </c>
      <c r="T104" s="1"/>
      <c r="U104" s="101" t="s">
        <v>387</v>
      </c>
      <c r="V104" s="91" t="s">
        <v>397</v>
      </c>
      <c r="W104" s="102">
        <v>32.0</v>
      </c>
      <c r="X104" s="102">
        <v>64.0</v>
      </c>
      <c r="Y104" s="102">
        <v>1900.0</v>
      </c>
      <c r="Z104" s="103">
        <v>1.0</v>
      </c>
      <c r="AA104" s="104" t="s">
        <v>308</v>
      </c>
      <c r="AB104" s="105">
        <v>741.97</v>
      </c>
      <c r="AC104" s="1"/>
      <c r="AD104" s="86">
        <f>if(Miscellaneous!E104*AWS!C$5&gt; 256, "", Miscellaneous!E104*AWS!C$5)</f>
        <v>103</v>
      </c>
      <c r="AE104" s="110"/>
      <c r="AF104" s="110"/>
      <c r="AG104" s="110"/>
    </row>
    <row r="105">
      <c r="A105" s="1"/>
      <c r="B105" s="1"/>
      <c r="C105" s="1"/>
      <c r="D105" s="1"/>
      <c r="E105" s="1"/>
      <c r="F105" s="1"/>
      <c r="G105" s="1"/>
      <c r="H105" s="71" t="s">
        <v>384</v>
      </c>
      <c r="I105" s="88" t="s">
        <v>279</v>
      </c>
      <c r="J105" s="1" t="s">
        <v>398</v>
      </c>
      <c r="K105" s="90" t="str">
        <f>If(C$20 = 0,  Ceiling(($C$19 / VLOOKUp(Concat("$", Concat(J105, ".Search")) ,U$4:AB$780, 4, false) * VLOOKUp(Concat("$", Concat(J105, ".Search")) ,U$4:AB$780, 8, false) / AZ),1) * AZ, 
    If(VLOOKUp(Concat("$", Concat(J105, ".Search")) ,U$4:AB$780, 5, false) = 0 , "N/A", 
        Max( 
             Ceiling(($C$20 / (VLOOKUp(Concat("$", Concat(J105, ".Search")) ,U$4:AB$780, 5, false) * VLOOKUp(Concat("$", Concat(J105, ".Search")) ,U$4:AB$780, 6, false)* (1 - DiskOverprovisioning))) / AZ,1) * AZ , 
             Ceiling(($C$19 / VLOOKUp(Concat("$", Concat(J105, ".Search")) ,U$4:AB$780, 4, false) / AZ),1) * AZ
           ) * VLOOKUp(Concat("$", Concat(J105, ".Search")) ,U$4:AB$780, 8, false)
     )
 )</f>
        <v>N/A</v>
      </c>
      <c r="L105" s="1"/>
      <c r="M105" s="91" t="s">
        <v>384</v>
      </c>
      <c r="N105" s="92" t="s">
        <v>279</v>
      </c>
      <c r="O105" s="93" t="s">
        <v>279</v>
      </c>
      <c r="P105" s="94">
        <f t="shared" si="1"/>
        <v>0</v>
      </c>
      <c r="Q105" s="1" t="s">
        <v>398</v>
      </c>
      <c r="R105" s="94" t="str">
        <f t="shared" si="2"/>
        <v>N/A</v>
      </c>
      <c r="S105" s="92" t="str">
        <f t="shared" si="3"/>
        <v>N/A</v>
      </c>
      <c r="T105" s="1"/>
      <c r="U105" s="101" t="s">
        <v>387</v>
      </c>
      <c r="V105" s="91" t="s">
        <v>399</v>
      </c>
      <c r="W105" s="102">
        <v>48.0</v>
      </c>
      <c r="X105" s="102">
        <v>96.0</v>
      </c>
      <c r="Y105" s="102">
        <v>1900.0</v>
      </c>
      <c r="Z105" s="103">
        <v>1.5</v>
      </c>
      <c r="AA105" s="104" t="s">
        <v>311</v>
      </c>
      <c r="AB105" s="105">
        <v>1112.96</v>
      </c>
      <c r="AC105" s="1"/>
      <c r="AD105" s="86">
        <f>if(Miscellaneous!E105*AWS!C$5&gt; 256, "", Miscellaneous!E105*AWS!C$5)</f>
        <v>104</v>
      </c>
      <c r="AE105" s="110"/>
      <c r="AF105" s="110"/>
      <c r="AG105" s="110"/>
    </row>
    <row r="106">
      <c r="A106" s="1"/>
      <c r="B106" s="1"/>
      <c r="C106" s="1"/>
      <c r="D106" s="1"/>
      <c r="E106" s="1"/>
      <c r="F106" s="1"/>
      <c r="G106" s="1"/>
      <c r="H106" s="71" t="s">
        <v>386</v>
      </c>
      <c r="I106" s="88" t="s">
        <v>279</v>
      </c>
      <c r="J106" s="1" t="s">
        <v>400</v>
      </c>
      <c r="K106" s="90" t="str">
        <f>If(C$20 = 0,  Ceiling(($C$19 / VLOOKUp(Concat("$", Concat(J106, ".Search")) ,U$4:AB$780, 4, false) * VLOOKUp(Concat("$", Concat(J106, ".Search")) ,U$4:AB$780, 8, false) / AZ),1) * AZ, 
    If(VLOOKUp(Concat("$", Concat(J106, ".Search")) ,U$4:AB$780, 5, false) = 0 , "N/A", 
        Max( 
             Ceiling(($C$20 / (VLOOKUp(Concat("$", Concat(J106, ".Search")) ,U$4:AB$780, 5, false) * VLOOKUp(Concat("$", Concat(J106, ".Search")) ,U$4:AB$780, 6, false)* (1 - DiskOverprovisioning))) / AZ,1) * AZ , 
             Ceiling(($C$19 / VLOOKUp(Concat("$", Concat(J106, ".Search")) ,U$4:AB$780, 4, false) / AZ),1) * AZ
           ) * VLOOKUp(Concat("$", Concat(J106, ".Search")) ,U$4:AB$780, 8, false)
     )
 )</f>
        <v>N/A</v>
      </c>
      <c r="L106" s="1"/>
      <c r="M106" s="91" t="s">
        <v>386</v>
      </c>
      <c r="N106" s="92" t="s">
        <v>279</v>
      </c>
      <c r="O106" s="93" t="s">
        <v>279</v>
      </c>
      <c r="P106" s="94">
        <f t="shared" si="1"/>
        <v>0</v>
      </c>
      <c r="Q106" s="1" t="s">
        <v>400</v>
      </c>
      <c r="R106" s="94" t="str">
        <f t="shared" si="2"/>
        <v>N/A</v>
      </c>
      <c r="S106" s="92" t="str">
        <f t="shared" si="3"/>
        <v>N/A</v>
      </c>
      <c r="T106" s="1"/>
      <c r="U106" s="101" t="s">
        <v>387</v>
      </c>
      <c r="V106" s="91" t="s">
        <v>401</v>
      </c>
      <c r="W106" s="102">
        <v>64.0</v>
      </c>
      <c r="X106" s="102">
        <v>128.0</v>
      </c>
      <c r="Y106" s="102">
        <v>1900.0</v>
      </c>
      <c r="Z106" s="103">
        <v>2.0</v>
      </c>
      <c r="AA106" s="104" t="s">
        <v>208</v>
      </c>
      <c r="AB106" s="105">
        <v>1483.94</v>
      </c>
      <c r="AC106" s="1"/>
      <c r="AD106" s="86">
        <f>if(Miscellaneous!E106*AWS!C$5&gt; 256, "", Miscellaneous!E106*AWS!C$5)</f>
        <v>105</v>
      </c>
      <c r="AE106" s="110"/>
      <c r="AF106" s="110"/>
      <c r="AG106" s="110"/>
    </row>
    <row r="107">
      <c r="A107" s="1"/>
      <c r="B107" s="1"/>
      <c r="C107" s="1"/>
      <c r="D107" s="1"/>
      <c r="E107" s="1"/>
      <c r="F107" s="1"/>
      <c r="G107" s="1"/>
      <c r="H107" s="71" t="s">
        <v>389</v>
      </c>
      <c r="I107" s="88" t="s">
        <v>279</v>
      </c>
      <c r="J107" s="1" t="s">
        <v>258</v>
      </c>
      <c r="K107" s="90">
        <f>If(C$20 = 0,  Ceiling(($C$19 / VLOOKUp(Concat("$", Concat(J107, ".Search")) ,U$4:AB$780, 4, false) * VLOOKUp(Concat("$", Concat(J107, ".Search")) ,U$4:AB$780, 8, false) / AZ),1) * AZ, 
    If(VLOOKUp(Concat("$", Concat(J107, ".Search")) ,U$4:AB$780, 5, false) = 0 , "N/A", 
        Max( 
             Ceiling(($C$20 / (VLOOKUp(Concat("$", Concat(J107, ".Search")) ,U$4:AB$780, 5, false) * VLOOKUp(Concat("$", Concat(J107, ".Search")) ,U$4:AB$780, 6, false)* (1 - DiskOverprovisioning))) / AZ,1) * AZ , 
             Ceiling(($C$19 / VLOOKUp(Concat("$", Concat(J107, ".Search")) ,U$4:AB$780, 4, false) / AZ),1) * AZ
           ) * VLOOKUp(Concat("$", Concat(J107, ".Search")) ,U$4:AB$780, 8, false)
     )
 )</f>
        <v>15001.5</v>
      </c>
      <c r="L107" s="1"/>
      <c r="M107" s="91" t="s">
        <v>389</v>
      </c>
      <c r="N107" s="92" t="s">
        <v>279</v>
      </c>
      <c r="O107" s="93" t="s">
        <v>279</v>
      </c>
      <c r="P107" s="94">
        <f t="shared" si="1"/>
        <v>1.672131148</v>
      </c>
      <c r="Q107" s="1" t="s">
        <v>258</v>
      </c>
      <c r="R107" s="94">
        <f t="shared" si="2"/>
        <v>1.672131148</v>
      </c>
      <c r="S107" s="92">
        <f t="shared" si="3"/>
        <v>25.16606552</v>
      </c>
      <c r="T107" s="1"/>
      <c r="U107" s="101" t="s">
        <v>387</v>
      </c>
      <c r="V107" s="91" t="s">
        <v>402</v>
      </c>
      <c r="W107" s="102">
        <v>96.0</v>
      </c>
      <c r="X107" s="102">
        <v>192.0</v>
      </c>
      <c r="Y107" s="102">
        <v>1900.0</v>
      </c>
      <c r="Z107" s="103">
        <v>3.0</v>
      </c>
      <c r="AA107" s="104" t="s">
        <v>315</v>
      </c>
      <c r="AB107" s="105">
        <v>2225.92</v>
      </c>
      <c r="AC107" s="1"/>
      <c r="AD107" s="86">
        <f>if(Miscellaneous!E107*AWS!C$5&gt; 256, "", Miscellaneous!E107*AWS!C$5)</f>
        <v>106</v>
      </c>
      <c r="AE107" s="110"/>
      <c r="AF107" s="110"/>
      <c r="AG107" s="110"/>
    </row>
    <row r="108">
      <c r="A108" s="1"/>
      <c r="B108" s="1"/>
      <c r="C108" s="1"/>
      <c r="D108" s="1"/>
      <c r="E108" s="1"/>
      <c r="F108" s="1"/>
      <c r="G108" s="1"/>
      <c r="H108" s="71" t="s">
        <v>391</v>
      </c>
      <c r="I108" s="88" t="s">
        <v>279</v>
      </c>
      <c r="J108" s="1" t="s">
        <v>265</v>
      </c>
      <c r="K108" s="90">
        <f>If(C$20 = 0,  Ceiling(($C$19 / VLOOKUp(Concat("$", Concat(J108, ".Search")) ,U$4:AB$780, 4, false) * VLOOKUp(Concat("$", Concat(J108, ".Search")) ,U$4:AB$780, 8, false) / AZ),1) * AZ, 
    If(VLOOKUp(Concat("$", Concat(J108, ".Search")) ,U$4:AB$780, 5, false) = 0 , "N/A", 
        Max( 
             Ceiling(($C$20 / (VLOOKUp(Concat("$", Concat(J108, ".Search")) ,U$4:AB$780, 5, false) * VLOOKUp(Concat("$", Concat(J108, ".Search")) ,U$4:AB$780, 6, false)* (1 - DiskOverprovisioning))) / AZ,1) * AZ , 
             Ceiling(($C$19 / VLOOKUp(Concat("$", Concat(J108, ".Search")) ,U$4:AB$780, 4, false) / AZ),1) * AZ
           ) * VLOOKUp(Concat("$", Concat(J108, ".Search")) ,U$4:AB$780, 8, false)
     )
 )</f>
        <v>30017.6</v>
      </c>
      <c r="L108" s="1"/>
      <c r="M108" s="91" t="s">
        <v>391</v>
      </c>
      <c r="N108" s="92" t="s">
        <v>279</v>
      </c>
      <c r="O108" s="93" t="s">
        <v>279</v>
      </c>
      <c r="P108" s="94">
        <f t="shared" si="1"/>
        <v>0.8360655738</v>
      </c>
      <c r="Q108" s="1" t="s">
        <v>265</v>
      </c>
      <c r="R108" s="94">
        <f t="shared" si="2"/>
        <v>0.8360655738</v>
      </c>
      <c r="S108" s="92">
        <f t="shared" si="3"/>
        <v>26.00213109</v>
      </c>
      <c r="T108" s="1"/>
      <c r="U108" s="101" t="s">
        <v>387</v>
      </c>
      <c r="V108" s="91" t="s">
        <v>403</v>
      </c>
      <c r="W108" s="102">
        <v>128.0</v>
      </c>
      <c r="X108" s="102">
        <v>256.0</v>
      </c>
      <c r="Y108" s="102">
        <v>1900.0</v>
      </c>
      <c r="Z108" s="103">
        <v>4.0</v>
      </c>
      <c r="AA108" s="104" t="s">
        <v>294</v>
      </c>
      <c r="AB108" s="105">
        <v>2967.89</v>
      </c>
      <c r="AC108" s="1"/>
      <c r="AD108" s="86">
        <f>if(Miscellaneous!E108*AWS!C$5&gt; 256, "", Miscellaneous!E108*AWS!C$5)</f>
        <v>107</v>
      </c>
      <c r="AE108" s="110"/>
      <c r="AF108" s="110"/>
      <c r="AG108" s="110"/>
    </row>
    <row r="109">
      <c r="A109" s="1"/>
      <c r="B109" s="1"/>
      <c r="C109" s="1"/>
      <c r="D109" s="1"/>
      <c r="E109" s="1"/>
      <c r="F109" s="1"/>
      <c r="G109" s="1"/>
      <c r="H109" s="71" t="s">
        <v>393</v>
      </c>
      <c r="I109" s="88" t="s">
        <v>279</v>
      </c>
      <c r="J109" s="1" t="s">
        <v>210</v>
      </c>
      <c r="K109" s="90">
        <f>If(C$20 = 0,  Ceiling(($C$19 / VLOOKUp(Concat("$", Concat(J109, ".Search")) ,U$4:AB$780, 4, false) * VLOOKUp(Concat("$", Concat(J109, ".Search")) ,U$4:AB$780, 8, false) / AZ),1) * AZ, 
    If(VLOOKUp(Concat("$", Concat(J109, ".Search")) ,U$4:AB$780, 5, false) = 0 , "N/A", 
        Max( 
             Ceiling(($C$20 / (VLOOKUp(Concat("$", Concat(J109, ".Search")) ,U$4:AB$780, 5, false) * VLOOKUp(Concat("$", Concat(J109, ".Search")) ,U$4:AB$780, 6, false)* (1 - DiskOverprovisioning))) / AZ,1) * AZ , 
             Ceiling(($C$19 / VLOOKUp(Concat("$", Concat(J109, ".Search")) ,U$4:AB$780, 4, false) / AZ),1) * AZ
           ) * VLOOKUp(Concat("$", Concat(J109, ".Search")) ,U$4:AB$780, 8, false)
     )
 )</f>
        <v>6010.1</v>
      </c>
      <c r="L109" s="1"/>
      <c r="M109" s="91" t="s">
        <v>393</v>
      </c>
      <c r="N109" s="92" t="s">
        <v>279</v>
      </c>
      <c r="O109" s="93" t="s">
        <v>279</v>
      </c>
      <c r="P109" s="94">
        <f t="shared" si="1"/>
        <v>3.154296875</v>
      </c>
      <c r="Q109" s="1" t="s">
        <v>210</v>
      </c>
      <c r="R109" s="94">
        <f t="shared" si="2"/>
        <v>3.154296875</v>
      </c>
      <c r="S109" s="92">
        <f t="shared" si="3"/>
        <v>23.68389979</v>
      </c>
      <c r="T109" s="1"/>
      <c r="U109" s="101" t="s">
        <v>404</v>
      </c>
      <c r="V109" s="91" t="s">
        <v>405</v>
      </c>
      <c r="W109" s="102">
        <v>2.0</v>
      </c>
      <c r="X109" s="102">
        <v>4.0</v>
      </c>
      <c r="Y109" s="102">
        <v>0.0</v>
      </c>
      <c r="Z109" s="103">
        <v>0.0</v>
      </c>
      <c r="AA109" s="104" t="s">
        <v>284</v>
      </c>
      <c r="AB109" s="105">
        <v>52.15</v>
      </c>
      <c r="AC109" s="1"/>
      <c r="AD109" s="86">
        <f>if(Miscellaneous!E109*AWS!C$5&gt; 256, "", Miscellaneous!E109*AWS!C$5)</f>
        <v>108</v>
      </c>
      <c r="AE109" s="110"/>
      <c r="AF109" s="110"/>
      <c r="AG109" s="110"/>
    </row>
    <row r="110">
      <c r="A110" s="1"/>
      <c r="B110" s="1"/>
      <c r="C110" s="1"/>
      <c r="D110" s="1"/>
      <c r="E110" s="1"/>
      <c r="F110" s="1"/>
      <c r="G110" s="1"/>
      <c r="H110" s="71" t="s">
        <v>396</v>
      </c>
      <c r="I110" s="88" t="s">
        <v>279</v>
      </c>
      <c r="J110" s="1" t="s">
        <v>257</v>
      </c>
      <c r="K110" s="90">
        <f>If(C$20 = 0,  Ceiling(($C$19 / VLOOKUp(Concat("$", Concat(J110, ".Search")) ,U$4:AB$780, 4, false) * VLOOKUp(Concat("$", Concat(J110, ".Search")) ,U$4:AB$780, 8, false) / AZ),1) * AZ, 
    If(VLOOKUp(Concat("$", Concat(J110, ".Search")) ,U$4:AB$780, 5, false) = 0 , "N/A", 
        Max( 
             Ceiling(($C$20 / (VLOOKUp(Concat("$", Concat(J110, ".Search")) ,U$4:AB$780, 5, false) * VLOOKUp(Concat("$", Concat(J110, ".Search")) ,U$4:AB$780, 6, false)* (1 - DiskOverprovisioning))) / AZ,1) * AZ , 
             Ceiling(($C$19 / VLOOKUp(Concat("$", Concat(J110, ".Search")) ,U$4:AB$780, 4, false) / AZ),1) * AZ
           ) * VLOOKUp(Concat("$", Concat(J110, ".Search")) ,U$4:AB$780, 8, false)
     )
 )</f>
        <v>14977.55</v>
      </c>
      <c r="L110" s="1"/>
      <c r="M110" s="91" t="s">
        <v>396</v>
      </c>
      <c r="N110" s="92" t="s">
        <v>279</v>
      </c>
      <c r="O110" s="93" t="s">
        <v>279</v>
      </c>
      <c r="P110" s="94">
        <f t="shared" si="1"/>
        <v>1.577148438</v>
      </c>
      <c r="Q110" s="1" t="s">
        <v>257</v>
      </c>
      <c r="R110" s="94">
        <f t="shared" si="2"/>
        <v>1.577148438</v>
      </c>
      <c r="S110" s="92">
        <f t="shared" si="3"/>
        <v>25.26104823</v>
      </c>
      <c r="T110" s="1"/>
      <c r="U110" s="101" t="s">
        <v>406</v>
      </c>
      <c r="V110" s="91" t="s">
        <v>407</v>
      </c>
      <c r="W110" s="102">
        <v>4.0</v>
      </c>
      <c r="X110" s="102">
        <v>8.0</v>
      </c>
      <c r="Y110" s="102">
        <v>0.0</v>
      </c>
      <c r="Z110" s="103">
        <v>0.0</v>
      </c>
      <c r="AA110" s="104" t="s">
        <v>408</v>
      </c>
      <c r="AB110" s="105">
        <v>104.3</v>
      </c>
      <c r="AC110" s="1"/>
      <c r="AD110" s="86">
        <f>if(Miscellaneous!E110*AWS!C$5&gt; 256, "", Miscellaneous!E110*AWS!C$5)</f>
        <v>109</v>
      </c>
      <c r="AE110" s="110"/>
      <c r="AF110" s="110"/>
      <c r="AG110" s="110"/>
    </row>
    <row r="111">
      <c r="A111" s="1"/>
      <c r="B111" s="1"/>
      <c r="C111" s="1"/>
      <c r="D111" s="1"/>
      <c r="E111" s="1"/>
      <c r="F111" s="1"/>
      <c r="G111" s="1"/>
      <c r="H111" s="71" t="s">
        <v>398</v>
      </c>
      <c r="I111" s="88" t="s">
        <v>279</v>
      </c>
      <c r="J111" s="1" t="s">
        <v>268</v>
      </c>
      <c r="K111" s="90">
        <f>If(C$20 = 0,  Ceiling(($C$19 / VLOOKUp(Concat("$", Concat(J111, ".Search")) ,U$4:AB$780, 4, false) * VLOOKUp(Concat("$", Concat(J111, ".Search")) ,U$4:AB$780, 8, false) / AZ),1) * AZ, 
    If(VLOOKUp(Concat("$", Concat(J111, ".Search")) ,U$4:AB$780, 5, false) = 0 , "N/A", 
        Max( 
             Ceiling(($C$20 / (VLOOKUp(Concat("$", Concat(J111, ".Search")) ,U$4:AB$780, 5, false) * VLOOKUp(Concat("$", Concat(J111, ".Search")) ,U$4:AB$780, 6, false)* (1 - DiskOverprovisioning))) / AZ,1) * AZ , 
             Ceiling(($C$19 / VLOOKUp(Concat("$", Concat(J111, ".Search")) ,U$4:AB$780, 4, false) / AZ),1) * AZ
           ) * VLOOKUp(Concat("$", Concat(J111, ".Search")) ,U$4:AB$780, 8, false)
     )
 )</f>
        <v>29955.1</v>
      </c>
      <c r="L111" s="1"/>
      <c r="M111" s="91" t="s">
        <v>398</v>
      </c>
      <c r="N111" s="92" t="s">
        <v>279</v>
      </c>
      <c r="O111" s="93" t="s">
        <v>279</v>
      </c>
      <c r="P111" s="94">
        <f t="shared" si="1"/>
        <v>0.7885742188</v>
      </c>
      <c r="Q111" s="1" t="s">
        <v>268</v>
      </c>
      <c r="R111" s="94">
        <f t="shared" si="2"/>
        <v>0.7885742188</v>
      </c>
      <c r="S111" s="92">
        <f t="shared" si="3"/>
        <v>26.04962245</v>
      </c>
      <c r="T111" s="1"/>
      <c r="U111" s="101" t="s">
        <v>406</v>
      </c>
      <c r="V111" s="91" t="s">
        <v>409</v>
      </c>
      <c r="W111" s="102">
        <v>8.0</v>
      </c>
      <c r="X111" s="102">
        <v>16.0</v>
      </c>
      <c r="Y111" s="102">
        <v>0.0</v>
      </c>
      <c r="Z111" s="103">
        <v>0.0</v>
      </c>
      <c r="AA111" s="104" t="s">
        <v>410</v>
      </c>
      <c r="AB111" s="105">
        <v>208.61</v>
      </c>
      <c r="AC111" s="1"/>
      <c r="AD111" s="86">
        <f>if(Miscellaneous!E111*AWS!C$5&gt; 256, "", Miscellaneous!E111*AWS!C$5)</f>
        <v>110</v>
      </c>
      <c r="AE111" s="110"/>
      <c r="AF111" s="110"/>
      <c r="AG111" s="110"/>
    </row>
    <row r="112">
      <c r="A112" s="1"/>
      <c r="B112" s="1"/>
      <c r="C112" s="1"/>
      <c r="D112" s="1"/>
      <c r="E112" s="1"/>
      <c r="F112" s="1"/>
      <c r="G112" s="1"/>
      <c r="H112" s="71" t="s">
        <v>400</v>
      </c>
      <c r="I112" s="88" t="s">
        <v>279</v>
      </c>
      <c r="J112" s="1" t="s">
        <v>411</v>
      </c>
      <c r="K112" s="90" t="str">
        <f>If(C$20 = 0,  Ceiling(($C$19 / VLOOKUp(Concat("$", Concat(J112, ".Search")) ,U$4:AB$780, 4, false) * VLOOKUp(Concat("$", Concat(J112, ".Search")) ,U$4:AB$780, 8, false) / AZ),1) * AZ, 
    If(VLOOKUp(Concat("$", Concat(J112, ".Search")) ,U$4:AB$780, 5, false) = 0 , "N/A", 
        Max( 
             Ceiling(($C$20 / (VLOOKUp(Concat("$", Concat(J112, ".Search")) ,U$4:AB$780, 5, false) * VLOOKUp(Concat("$", Concat(J112, ".Search")) ,U$4:AB$780, 6, false)* (1 - DiskOverprovisioning))) / AZ,1) * AZ , 
             Ceiling(($C$19 / VLOOKUp(Concat("$", Concat(J112, ".Search")) ,U$4:AB$780, 4, false) / AZ),1) * AZ
           ) * VLOOKUp(Concat("$", Concat(J112, ".Search")) ,U$4:AB$780, 8, false)
     )
 )</f>
        <v>N/A</v>
      </c>
      <c r="L112" s="1"/>
      <c r="M112" s="91" t="s">
        <v>400</v>
      </c>
      <c r="N112" s="92" t="s">
        <v>279</v>
      </c>
      <c r="O112" s="93" t="s">
        <v>279</v>
      </c>
      <c r="P112" s="94">
        <f t="shared" si="1"/>
        <v>0</v>
      </c>
      <c r="Q112" s="1" t="s">
        <v>411</v>
      </c>
      <c r="R112" s="94" t="str">
        <f t="shared" si="2"/>
        <v>N/A</v>
      </c>
      <c r="S112" s="92" t="str">
        <f t="shared" si="3"/>
        <v>N/A</v>
      </c>
      <c r="T112" s="1"/>
      <c r="U112" s="101" t="s">
        <v>406</v>
      </c>
      <c r="V112" s="91" t="s">
        <v>412</v>
      </c>
      <c r="W112" s="102">
        <v>16.0</v>
      </c>
      <c r="X112" s="102">
        <v>32.0</v>
      </c>
      <c r="Y112" s="102">
        <v>0.0</v>
      </c>
      <c r="Z112" s="103">
        <v>0.0</v>
      </c>
      <c r="AA112" s="104" t="s">
        <v>413</v>
      </c>
      <c r="AB112" s="105">
        <v>417.22</v>
      </c>
      <c r="AC112" s="1"/>
      <c r="AD112" s="86">
        <f>if(Miscellaneous!E112*AWS!C$5&gt; 256, "", Miscellaneous!E112*AWS!C$5)</f>
        <v>111</v>
      </c>
      <c r="AE112" s="110"/>
      <c r="AF112" s="110"/>
      <c r="AG112" s="110"/>
    </row>
    <row r="113">
      <c r="A113" s="1"/>
      <c r="B113" s="1"/>
      <c r="C113" s="1"/>
      <c r="D113" s="1"/>
      <c r="E113" s="1"/>
      <c r="F113" s="1"/>
      <c r="G113" s="1"/>
      <c r="H113" s="71" t="s">
        <v>411</v>
      </c>
      <c r="I113" s="88" t="s">
        <v>279</v>
      </c>
      <c r="J113" s="1" t="s">
        <v>414</v>
      </c>
      <c r="K113" s="90" t="str">
        <f>If(C$20 = 0,  Ceiling(($C$19 / VLOOKUp(Concat("$", Concat(J113, ".Search")) ,U$4:AB$780, 4, false) * VLOOKUp(Concat("$", Concat(J113, ".Search")) ,U$4:AB$780, 8, false) / AZ),1) * AZ, 
    If(VLOOKUp(Concat("$", Concat(J113, ".Search")) ,U$4:AB$780, 5, false) = 0 , "N/A", 
        Max( 
             Ceiling(($C$20 / (VLOOKUp(Concat("$", Concat(J113, ".Search")) ,U$4:AB$780, 5, false) * VLOOKUp(Concat("$", Concat(J113, ".Search")) ,U$4:AB$780, 6, false)* (1 - DiskOverprovisioning))) / AZ,1) * AZ , 
             Ceiling(($C$19 / VLOOKUp(Concat("$", Concat(J113, ".Search")) ,U$4:AB$780, 4, false) / AZ),1) * AZ
           ) * VLOOKUp(Concat("$", Concat(J113, ".Search")) ,U$4:AB$780, 8, false)
     )
 )</f>
        <v>N/A</v>
      </c>
      <c r="L113" s="1"/>
      <c r="M113" s="91" t="s">
        <v>411</v>
      </c>
      <c r="N113" s="92" t="s">
        <v>279</v>
      </c>
      <c r="O113" s="93" t="s">
        <v>279</v>
      </c>
      <c r="P113" s="94">
        <f t="shared" si="1"/>
        <v>0</v>
      </c>
      <c r="Q113" s="1" t="s">
        <v>414</v>
      </c>
      <c r="R113" s="94" t="str">
        <f t="shared" si="2"/>
        <v>N/A</v>
      </c>
      <c r="S113" s="92" t="str">
        <f t="shared" si="3"/>
        <v>N/A</v>
      </c>
      <c r="T113" s="1"/>
      <c r="U113" s="101" t="s">
        <v>406</v>
      </c>
      <c r="V113" s="91" t="s">
        <v>415</v>
      </c>
      <c r="W113" s="102">
        <v>32.0</v>
      </c>
      <c r="X113" s="102">
        <v>64.0</v>
      </c>
      <c r="Y113" s="102">
        <v>0.0</v>
      </c>
      <c r="Z113" s="103">
        <v>0.0</v>
      </c>
      <c r="AA113" s="104" t="s">
        <v>294</v>
      </c>
      <c r="AB113" s="105">
        <v>834.44</v>
      </c>
      <c r="AC113" s="1"/>
      <c r="AD113" s="86">
        <f>if(Miscellaneous!E113*AWS!C$5&gt; 256, "", Miscellaneous!E113*AWS!C$5)</f>
        <v>112</v>
      </c>
      <c r="AE113" s="110"/>
      <c r="AF113" s="110"/>
      <c r="AG113" s="110"/>
    </row>
    <row r="114">
      <c r="A114" s="1"/>
      <c r="B114" s="1"/>
      <c r="C114" s="1"/>
      <c r="D114" s="1"/>
      <c r="E114" s="1"/>
      <c r="F114" s="1"/>
      <c r="G114" s="1"/>
      <c r="H114" s="72" t="s">
        <v>414</v>
      </c>
      <c r="I114" s="135" t="s">
        <v>279</v>
      </c>
      <c r="J114" s="136" t="s">
        <v>245</v>
      </c>
      <c r="K114" s="137">
        <f>If(C$20 = 0,  Ceiling(($C$19 / VLOOKUp(Concat("$", Concat(J114, ".Search")) ,U$4:AB$780, 4, false) * VLOOKUp(Concat("$", Concat(J114, ".Search")) ,U$4:AB$780, 8, false) / AZ),1) * AZ, 
    If(VLOOKUp(Concat("$", Concat(J114, ".Search")) ,U$4:AB$780, 5, false) = 0 , "N/A", 
        Max( 
             Ceiling(($C$20 / (VLOOKUp(Concat("$", Concat(J114, ".Search")) ,U$4:AB$780, 5, false) * VLOOKUp(Concat("$", Concat(J114, ".Search")) ,U$4:AB$780, 6, false)* (1 - DiskOverprovisioning))) / AZ,1) * AZ , 
             Ceiling(($C$19 / VLOOKUp(Concat("$", Concat(J114, ".Search")) ,U$4:AB$780, 4, false) / AZ),1) * AZ
           ) * VLOOKUp(Concat("$", Concat(J114, ".Search")) ,U$4:AB$780, 8, false)
     )
 )</f>
        <v>10776.99</v>
      </c>
      <c r="L114" s="1"/>
      <c r="M114" s="138" t="s">
        <v>414</v>
      </c>
      <c r="N114" s="139" t="s">
        <v>279</v>
      </c>
      <c r="O114" s="140" t="s">
        <v>279</v>
      </c>
      <c r="P114" s="141">
        <f t="shared" si="1"/>
        <v>3.984375</v>
      </c>
      <c r="Q114" s="136" t="s">
        <v>245</v>
      </c>
      <c r="R114" s="141">
        <f t="shared" si="2"/>
        <v>3.984375</v>
      </c>
      <c r="S114" s="139">
        <f t="shared" si="3"/>
        <v>22.85382167</v>
      </c>
      <c r="T114" s="1"/>
      <c r="U114" s="101" t="s">
        <v>406</v>
      </c>
      <c r="V114" s="91" t="s">
        <v>416</v>
      </c>
      <c r="W114" s="102">
        <v>48.0</v>
      </c>
      <c r="X114" s="102">
        <v>96.0</v>
      </c>
      <c r="Y114" s="102">
        <v>0.0</v>
      </c>
      <c r="Z114" s="103">
        <v>0.0</v>
      </c>
      <c r="AA114" s="104" t="s">
        <v>364</v>
      </c>
      <c r="AB114" s="105">
        <v>1251.67</v>
      </c>
      <c r="AC114" s="1"/>
      <c r="AD114" s="86">
        <f>if(Miscellaneous!E114*AWS!C$5&gt; 256, "", Miscellaneous!E114*AWS!C$5)</f>
        <v>113</v>
      </c>
      <c r="AE114" s="110"/>
      <c r="AF114" s="110"/>
      <c r="AG114" s="110"/>
    </row>
    <row r="115">
      <c r="A115" s="1"/>
      <c r="B115" s="1"/>
      <c r="C115" s="1"/>
      <c r="D115" s="1"/>
      <c r="E115" s="1"/>
      <c r="F115" s="1"/>
      <c r="G115" s="1"/>
      <c r="H115" s="1"/>
      <c r="I115" s="7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01" t="s">
        <v>406</v>
      </c>
      <c r="V115" s="91" t="s">
        <v>417</v>
      </c>
      <c r="W115" s="102">
        <v>64.0</v>
      </c>
      <c r="X115" s="102">
        <v>128.0</v>
      </c>
      <c r="Y115" s="102">
        <v>0.0</v>
      </c>
      <c r="Z115" s="103">
        <v>0.0</v>
      </c>
      <c r="AA115" s="104" t="s">
        <v>296</v>
      </c>
      <c r="AB115" s="105">
        <v>1668.88</v>
      </c>
      <c r="AC115" s="1"/>
      <c r="AD115" s="86">
        <f>if(Miscellaneous!E115*AWS!C$5&gt; 256, "", Miscellaneous!E115*AWS!C$5)</f>
        <v>114</v>
      </c>
      <c r="AE115" s="110"/>
      <c r="AF115" s="110"/>
      <c r="AG115" s="110"/>
    </row>
    <row r="116">
      <c r="A116" s="1"/>
      <c r="B116" s="1"/>
      <c r="C116" s="1"/>
      <c r="D116" s="1"/>
      <c r="E116" s="1"/>
      <c r="F116" s="1"/>
      <c r="G116" s="1"/>
      <c r="H116" s="1"/>
      <c r="I116" s="7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01" t="s">
        <v>406</v>
      </c>
      <c r="V116" s="91" t="s">
        <v>418</v>
      </c>
      <c r="W116" s="102">
        <v>96.0</v>
      </c>
      <c r="X116" s="102">
        <v>192.0</v>
      </c>
      <c r="Y116" s="102">
        <v>0.0</v>
      </c>
      <c r="Z116" s="103">
        <v>0.0</v>
      </c>
      <c r="AA116" s="104" t="s">
        <v>419</v>
      </c>
      <c r="AB116" s="105">
        <v>2503.33</v>
      </c>
      <c r="AC116" s="1"/>
      <c r="AD116" s="86">
        <f>if(Miscellaneous!E116*AWS!C$5&gt; 256, "", Miscellaneous!E116*AWS!C$5)</f>
        <v>115</v>
      </c>
      <c r="AE116" s="110"/>
      <c r="AF116" s="110"/>
      <c r="AG116" s="110"/>
    </row>
    <row r="117">
      <c r="A117" s="1"/>
      <c r="B117" s="1"/>
      <c r="C117" s="1"/>
      <c r="D117" s="1"/>
      <c r="E117" s="1"/>
      <c r="F117" s="1"/>
      <c r="G117" s="1"/>
      <c r="H117" s="1"/>
      <c r="I117" s="7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01" t="s">
        <v>406</v>
      </c>
      <c r="V117" s="91" t="s">
        <v>420</v>
      </c>
      <c r="W117" s="102">
        <v>128.0</v>
      </c>
      <c r="X117" s="102">
        <v>256.0</v>
      </c>
      <c r="Y117" s="102">
        <v>0.0</v>
      </c>
      <c r="Z117" s="103">
        <v>0.0</v>
      </c>
      <c r="AA117" s="104" t="s">
        <v>421</v>
      </c>
      <c r="AB117" s="105">
        <v>3337.77</v>
      </c>
      <c r="AC117" s="1"/>
      <c r="AD117" s="86">
        <f>if(Miscellaneous!E117*AWS!C$5&gt; 256, "", Miscellaneous!E117*AWS!C$5)</f>
        <v>116</v>
      </c>
      <c r="AE117" s="110"/>
      <c r="AF117" s="110"/>
      <c r="AG117" s="110"/>
    </row>
    <row r="118">
      <c r="A118" s="1"/>
      <c r="B118" s="1"/>
      <c r="C118" s="1"/>
      <c r="D118" s="1"/>
      <c r="E118" s="1"/>
      <c r="F118" s="1"/>
      <c r="G118" s="1"/>
      <c r="H118" s="1"/>
      <c r="I118" s="7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01" t="s">
        <v>422</v>
      </c>
      <c r="V118" s="91" t="s">
        <v>423</v>
      </c>
      <c r="W118" s="102">
        <v>1.0</v>
      </c>
      <c r="X118" s="102">
        <v>2.0</v>
      </c>
      <c r="Y118" s="102">
        <v>0.0</v>
      </c>
      <c r="Z118" s="103">
        <v>0.0</v>
      </c>
      <c r="AA118" s="104" t="s">
        <v>300</v>
      </c>
      <c r="AB118" s="105">
        <v>24.78</v>
      </c>
      <c r="AC118" s="1"/>
      <c r="AD118" s="86">
        <f>if(Miscellaneous!E118*AWS!C$5&gt; 256, "", Miscellaneous!E118*AWS!C$5)</f>
        <v>117</v>
      </c>
      <c r="AE118" s="110"/>
      <c r="AF118" s="110"/>
      <c r="AG118" s="110"/>
    </row>
    <row r="119">
      <c r="A119" s="1"/>
      <c r="B119" s="1"/>
      <c r="C119" s="1"/>
      <c r="D119" s="1"/>
      <c r="E119" s="1"/>
      <c r="F119" s="1"/>
      <c r="G119" s="1"/>
      <c r="H119" s="1"/>
      <c r="I119" s="7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01" t="s">
        <v>424</v>
      </c>
      <c r="V119" s="91" t="s">
        <v>425</v>
      </c>
      <c r="W119" s="102">
        <v>2.0</v>
      </c>
      <c r="X119" s="102">
        <v>4.0</v>
      </c>
      <c r="Y119" s="102">
        <v>0.0</v>
      </c>
      <c r="Z119" s="103">
        <v>0.0</v>
      </c>
      <c r="AA119" s="104" t="s">
        <v>300</v>
      </c>
      <c r="AB119" s="105">
        <v>49.57</v>
      </c>
      <c r="AC119" s="1"/>
      <c r="AD119" s="86">
        <f>if(Miscellaneous!E119*AWS!C$5&gt; 256, "", Miscellaneous!E119*AWS!C$5)</f>
        <v>118</v>
      </c>
      <c r="AE119" s="110"/>
      <c r="AF119" s="110"/>
      <c r="AG119" s="110"/>
    </row>
    <row r="120">
      <c r="A120" s="1"/>
      <c r="B120" s="1"/>
      <c r="C120" s="1"/>
      <c r="D120" s="1"/>
      <c r="E120" s="1"/>
      <c r="F120" s="1"/>
      <c r="G120" s="1"/>
      <c r="H120" s="1"/>
      <c r="I120" s="7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01" t="s">
        <v>424</v>
      </c>
      <c r="V120" s="91" t="s">
        <v>426</v>
      </c>
      <c r="W120" s="102">
        <v>4.0</v>
      </c>
      <c r="X120" s="102">
        <v>8.0</v>
      </c>
      <c r="Y120" s="102">
        <v>0.0</v>
      </c>
      <c r="Z120" s="103">
        <v>0.0</v>
      </c>
      <c r="AA120" s="104" t="s">
        <v>300</v>
      </c>
      <c r="AB120" s="105">
        <v>99.13</v>
      </c>
      <c r="AC120" s="1"/>
      <c r="AD120" s="86">
        <f>if(Miscellaneous!E120*AWS!C$5&gt; 256, "", Miscellaneous!E120*AWS!C$5)</f>
        <v>119</v>
      </c>
      <c r="AE120" s="110"/>
      <c r="AF120" s="110"/>
      <c r="AG120" s="110"/>
    </row>
    <row r="121">
      <c r="A121" s="1"/>
      <c r="B121" s="1"/>
      <c r="C121" s="1"/>
      <c r="D121" s="1"/>
      <c r="E121" s="1"/>
      <c r="F121" s="1"/>
      <c r="G121" s="1"/>
      <c r="H121" s="1"/>
      <c r="I121" s="7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01" t="s">
        <v>424</v>
      </c>
      <c r="V121" s="91" t="s">
        <v>427</v>
      </c>
      <c r="W121" s="102">
        <v>8.0</v>
      </c>
      <c r="X121" s="102">
        <v>16.0</v>
      </c>
      <c r="Y121" s="102">
        <v>0.0</v>
      </c>
      <c r="Z121" s="103">
        <v>0.0</v>
      </c>
      <c r="AA121" s="104" t="s">
        <v>300</v>
      </c>
      <c r="AB121" s="105">
        <v>198.26</v>
      </c>
      <c r="AC121" s="1"/>
      <c r="AD121" s="86">
        <f>if(Miscellaneous!E121*AWS!C$5&gt; 256, "", Miscellaneous!E121*AWS!C$5)</f>
        <v>120</v>
      </c>
      <c r="AE121" s="110"/>
      <c r="AF121" s="110"/>
      <c r="AG121" s="110"/>
    </row>
    <row r="122">
      <c r="A122" s="1"/>
      <c r="B122" s="1"/>
      <c r="C122" s="1"/>
      <c r="D122" s="1"/>
      <c r="E122" s="1"/>
      <c r="F122" s="1"/>
      <c r="G122" s="1"/>
      <c r="H122" s="1"/>
      <c r="I122" s="7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01" t="s">
        <v>424</v>
      </c>
      <c r="V122" s="91" t="s">
        <v>428</v>
      </c>
      <c r="W122" s="102">
        <v>16.0</v>
      </c>
      <c r="X122" s="102">
        <v>32.0</v>
      </c>
      <c r="Y122" s="102">
        <v>0.0</v>
      </c>
      <c r="Z122" s="103">
        <v>0.0</v>
      </c>
      <c r="AA122" s="104" t="s">
        <v>300</v>
      </c>
      <c r="AB122" s="105">
        <v>396.51</v>
      </c>
      <c r="AC122" s="1"/>
      <c r="AD122" s="86">
        <f>if(Miscellaneous!E122*AWS!C$5&gt; 256, "", Miscellaneous!E122*AWS!C$5)</f>
        <v>121</v>
      </c>
      <c r="AE122" s="110"/>
      <c r="AF122" s="110"/>
      <c r="AG122" s="110"/>
    </row>
    <row r="123">
      <c r="A123" s="1"/>
      <c r="B123" s="1"/>
      <c r="C123" s="1"/>
      <c r="D123" s="1"/>
      <c r="E123" s="1"/>
      <c r="F123" s="1"/>
      <c r="G123" s="1"/>
      <c r="H123" s="1"/>
      <c r="I123" s="76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01" t="s">
        <v>424</v>
      </c>
      <c r="V123" s="91" t="s">
        <v>429</v>
      </c>
      <c r="W123" s="102">
        <v>32.0</v>
      </c>
      <c r="X123" s="102">
        <v>64.0</v>
      </c>
      <c r="Y123" s="102">
        <v>0.0</v>
      </c>
      <c r="Z123" s="103">
        <v>0.0</v>
      </c>
      <c r="AA123" s="104" t="s">
        <v>308</v>
      </c>
      <c r="AB123" s="105">
        <v>793.03</v>
      </c>
      <c r="AC123" s="1"/>
      <c r="AD123" s="86">
        <f>if(Miscellaneous!E123*AWS!C$5&gt; 256, "", Miscellaneous!E123*AWS!C$5)</f>
        <v>122</v>
      </c>
      <c r="AE123" s="110"/>
      <c r="AF123" s="110"/>
      <c r="AG123" s="110"/>
    </row>
    <row r="124">
      <c r="A124" s="1"/>
      <c r="B124" s="1"/>
      <c r="C124" s="1"/>
      <c r="D124" s="1"/>
      <c r="E124" s="1"/>
      <c r="F124" s="1"/>
      <c r="G124" s="1"/>
      <c r="H124" s="1"/>
      <c r="I124" s="76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01" t="s">
        <v>424</v>
      </c>
      <c r="V124" s="91" t="s">
        <v>430</v>
      </c>
      <c r="W124" s="102">
        <v>48.0</v>
      </c>
      <c r="X124" s="102">
        <v>96.0</v>
      </c>
      <c r="Y124" s="102">
        <v>0.0</v>
      </c>
      <c r="Z124" s="103">
        <v>0.0</v>
      </c>
      <c r="AA124" s="104" t="s">
        <v>311</v>
      </c>
      <c r="AB124" s="105">
        <v>1189.54</v>
      </c>
      <c r="AC124" s="1"/>
      <c r="AD124" s="86">
        <f>if(Miscellaneous!E124*AWS!C$5&gt; 256, "", Miscellaneous!E124*AWS!C$5)</f>
        <v>123</v>
      </c>
      <c r="AE124" s="110"/>
      <c r="AF124" s="110"/>
      <c r="AG124" s="110"/>
    </row>
    <row r="125">
      <c r="A125" s="1"/>
      <c r="B125" s="1"/>
      <c r="C125" s="1"/>
      <c r="D125" s="1"/>
      <c r="E125" s="1"/>
      <c r="F125" s="1"/>
      <c r="G125" s="1"/>
      <c r="H125" s="1"/>
      <c r="I125" s="7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01" t="s">
        <v>424</v>
      </c>
      <c r="V125" s="91" t="s">
        <v>431</v>
      </c>
      <c r="W125" s="102">
        <v>64.0</v>
      </c>
      <c r="X125" s="102">
        <v>128.0</v>
      </c>
      <c r="Y125" s="102">
        <v>0.0</v>
      </c>
      <c r="Z125" s="103">
        <v>0.0</v>
      </c>
      <c r="AA125" s="104" t="s">
        <v>208</v>
      </c>
      <c r="AB125" s="105">
        <v>1586.06</v>
      </c>
      <c r="AC125" s="1"/>
      <c r="AD125" s="86">
        <f>if(Miscellaneous!E125*AWS!C$5&gt; 256, "", Miscellaneous!E125*AWS!C$5)</f>
        <v>124</v>
      </c>
      <c r="AE125" s="110"/>
      <c r="AF125" s="110"/>
      <c r="AG125" s="110"/>
    </row>
    <row r="126">
      <c r="A126" s="1"/>
      <c r="B126" s="1"/>
      <c r="C126" s="1"/>
      <c r="D126" s="1"/>
      <c r="E126" s="1"/>
      <c r="F126" s="1"/>
      <c r="G126" s="1"/>
      <c r="H126" s="1"/>
      <c r="I126" s="7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01" t="s">
        <v>424</v>
      </c>
      <c r="V126" s="91" t="s">
        <v>432</v>
      </c>
      <c r="W126" s="102">
        <v>96.0</v>
      </c>
      <c r="X126" s="102">
        <v>192.0</v>
      </c>
      <c r="Y126" s="102">
        <v>0.0</v>
      </c>
      <c r="Z126" s="103">
        <v>0.0</v>
      </c>
      <c r="AA126" s="104" t="s">
        <v>315</v>
      </c>
      <c r="AB126" s="105">
        <v>2379.09</v>
      </c>
      <c r="AC126" s="1"/>
      <c r="AD126" s="86">
        <f>if(Miscellaneous!E126*AWS!C$5&gt; 256, "", Miscellaneous!E126*AWS!C$5)</f>
        <v>125</v>
      </c>
      <c r="AE126" s="110"/>
      <c r="AF126" s="110"/>
      <c r="AG126" s="110"/>
    </row>
    <row r="127">
      <c r="A127" s="1"/>
      <c r="B127" s="1"/>
      <c r="C127" s="1"/>
      <c r="D127" s="1"/>
      <c r="E127" s="1"/>
      <c r="F127" s="1"/>
      <c r="G127" s="1"/>
      <c r="H127" s="1"/>
      <c r="I127" s="7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01" t="s">
        <v>424</v>
      </c>
      <c r="V127" s="91" t="s">
        <v>433</v>
      </c>
      <c r="W127" s="102">
        <v>128.0</v>
      </c>
      <c r="X127" s="102">
        <v>256.0</v>
      </c>
      <c r="Y127" s="102">
        <v>0.0</v>
      </c>
      <c r="Z127" s="103">
        <v>0.0</v>
      </c>
      <c r="AA127" s="104" t="s">
        <v>294</v>
      </c>
      <c r="AB127" s="105">
        <v>3172.12</v>
      </c>
      <c r="AC127" s="1"/>
      <c r="AD127" s="86">
        <f>if(Miscellaneous!E127*AWS!C$5&gt; 256, "", Miscellaneous!E127*AWS!C$5)</f>
        <v>126</v>
      </c>
      <c r="AE127" s="110"/>
      <c r="AF127" s="110"/>
      <c r="AG127" s="110"/>
    </row>
    <row r="128">
      <c r="A128" s="1"/>
      <c r="B128" s="1"/>
      <c r="C128" s="1"/>
      <c r="D128" s="1"/>
      <c r="E128" s="1"/>
      <c r="F128" s="1"/>
      <c r="G128" s="1"/>
      <c r="H128" s="1"/>
      <c r="I128" s="76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01" t="s">
        <v>424</v>
      </c>
      <c r="V128" s="91" t="s">
        <v>434</v>
      </c>
      <c r="W128" s="102">
        <v>192.0</v>
      </c>
      <c r="X128" s="102">
        <v>384.0</v>
      </c>
      <c r="Y128" s="102">
        <v>0.0</v>
      </c>
      <c r="Z128" s="103">
        <v>0.0</v>
      </c>
      <c r="AA128" s="104" t="s">
        <v>294</v>
      </c>
      <c r="AB128" s="105">
        <v>4758.18</v>
      </c>
      <c r="AC128" s="1"/>
      <c r="AD128" s="86">
        <f>if(Miscellaneous!E128*AWS!C$5&gt; 256, "", Miscellaneous!E128*AWS!C$5)</f>
        <v>127</v>
      </c>
      <c r="AE128" s="110"/>
      <c r="AF128" s="110"/>
      <c r="AG128" s="110"/>
    </row>
    <row r="129">
      <c r="A129" s="1"/>
      <c r="B129" s="1"/>
      <c r="C129" s="1"/>
      <c r="D129" s="1"/>
      <c r="E129" s="1"/>
      <c r="F129" s="1"/>
      <c r="G129" s="1"/>
      <c r="H129" s="1"/>
      <c r="I129" s="7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01" t="s">
        <v>435</v>
      </c>
      <c r="V129" s="91" t="s">
        <v>436</v>
      </c>
      <c r="W129" s="102">
        <v>1.0</v>
      </c>
      <c r="X129" s="102">
        <v>2.0</v>
      </c>
      <c r="Y129" s="102">
        <v>0.0</v>
      </c>
      <c r="Z129" s="103">
        <v>0.0</v>
      </c>
      <c r="AA129" s="104" t="s">
        <v>300</v>
      </c>
      <c r="AB129" s="105">
        <v>17.45</v>
      </c>
      <c r="AC129" s="1"/>
      <c r="AD129" s="86">
        <f>if(Miscellaneous!E129*AWS!C$5&gt; 256, "", Miscellaneous!E129*AWS!C$5)</f>
        <v>128</v>
      </c>
      <c r="AE129" s="110"/>
      <c r="AF129" s="110"/>
      <c r="AG129" s="110"/>
    </row>
    <row r="130">
      <c r="A130" s="1"/>
      <c r="B130" s="1"/>
      <c r="C130" s="1"/>
      <c r="D130" s="1"/>
      <c r="E130" s="1"/>
      <c r="F130" s="1"/>
      <c r="G130" s="1"/>
      <c r="H130" s="1"/>
      <c r="I130" s="7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01" t="s">
        <v>437</v>
      </c>
      <c r="V130" s="91" t="s">
        <v>438</v>
      </c>
      <c r="W130" s="102">
        <v>2.0</v>
      </c>
      <c r="X130" s="102">
        <v>4.0</v>
      </c>
      <c r="Y130" s="102">
        <v>0.0</v>
      </c>
      <c r="Z130" s="103">
        <v>0.0</v>
      </c>
      <c r="AA130" s="104" t="s">
        <v>300</v>
      </c>
      <c r="AB130" s="105">
        <v>34.89</v>
      </c>
      <c r="AC130" s="1"/>
      <c r="AD130" s="86">
        <f>if(Miscellaneous!E130*AWS!C$5&gt; 256, "", Miscellaneous!E130*AWS!C$5)</f>
        <v>129</v>
      </c>
      <c r="AE130" s="110"/>
      <c r="AF130" s="110"/>
      <c r="AG130" s="110"/>
    </row>
    <row r="131">
      <c r="A131" s="1"/>
      <c r="B131" s="1"/>
      <c r="C131" s="1"/>
      <c r="D131" s="1"/>
      <c r="E131" s="1"/>
      <c r="F131" s="1"/>
      <c r="G131" s="1"/>
      <c r="H131" s="1"/>
      <c r="I131" s="7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01" t="s">
        <v>437</v>
      </c>
      <c r="V131" s="91" t="s">
        <v>439</v>
      </c>
      <c r="W131" s="102">
        <v>4.0</v>
      </c>
      <c r="X131" s="102">
        <v>8.0</v>
      </c>
      <c r="Y131" s="102">
        <v>0.0</v>
      </c>
      <c r="Z131" s="103">
        <v>0.0</v>
      </c>
      <c r="AA131" s="104" t="s">
        <v>300</v>
      </c>
      <c r="AB131" s="105">
        <v>69.72</v>
      </c>
      <c r="AC131" s="1"/>
      <c r="AD131" s="86">
        <f>if(Miscellaneous!E131*AWS!C$5&gt; 256, "", Miscellaneous!E131*AWS!C$5)</f>
        <v>130</v>
      </c>
      <c r="AE131" s="110"/>
      <c r="AF131" s="110"/>
      <c r="AG131" s="110"/>
    </row>
    <row r="132">
      <c r="A132" s="1"/>
      <c r="B132" s="1"/>
      <c r="C132" s="1"/>
      <c r="D132" s="1"/>
      <c r="E132" s="1"/>
      <c r="F132" s="1"/>
      <c r="G132" s="1"/>
      <c r="H132" s="1"/>
      <c r="I132" s="7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01" t="s">
        <v>437</v>
      </c>
      <c r="V132" s="91" t="s">
        <v>440</v>
      </c>
      <c r="W132" s="102">
        <v>8.0</v>
      </c>
      <c r="X132" s="102">
        <v>16.0</v>
      </c>
      <c r="Y132" s="102">
        <v>0.0</v>
      </c>
      <c r="Z132" s="103">
        <v>0.0</v>
      </c>
      <c r="AA132" s="104" t="s">
        <v>441</v>
      </c>
      <c r="AB132" s="105">
        <v>139.5</v>
      </c>
      <c r="AC132" s="1"/>
      <c r="AD132" s="86">
        <f>if(Miscellaneous!E132*AWS!C$5&gt; 256, "", Miscellaneous!E132*AWS!C$5)</f>
        <v>131</v>
      </c>
      <c r="AE132" s="110"/>
      <c r="AF132" s="110"/>
      <c r="AG132" s="110"/>
    </row>
    <row r="133">
      <c r="A133" s="1"/>
      <c r="B133" s="1"/>
      <c r="C133" s="1"/>
      <c r="D133" s="1"/>
      <c r="E133" s="1"/>
      <c r="F133" s="1"/>
      <c r="G133" s="1"/>
      <c r="H133" s="1"/>
      <c r="I133" s="76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01" t="s">
        <v>437</v>
      </c>
      <c r="V133" s="91" t="s">
        <v>442</v>
      </c>
      <c r="W133" s="102">
        <v>16.0</v>
      </c>
      <c r="X133" s="102">
        <v>32.0</v>
      </c>
      <c r="Y133" s="102">
        <v>0.0</v>
      </c>
      <c r="Z133" s="103">
        <v>0.0</v>
      </c>
      <c r="AA133" s="104" t="s">
        <v>441</v>
      </c>
      <c r="AB133" s="105">
        <v>279.01</v>
      </c>
      <c r="AC133" s="1"/>
      <c r="AD133" s="86">
        <f>if(Miscellaneous!E133*AWS!C$5&gt; 256, "", Miscellaneous!E133*AWS!C$5)</f>
        <v>132</v>
      </c>
      <c r="AE133" s="110"/>
      <c r="AF133" s="110"/>
      <c r="AG133" s="110"/>
    </row>
    <row r="134">
      <c r="A134" s="1"/>
      <c r="B134" s="1"/>
      <c r="C134" s="1"/>
      <c r="D134" s="1"/>
      <c r="E134" s="1"/>
      <c r="F134" s="1"/>
      <c r="G134" s="1"/>
      <c r="H134" s="1"/>
      <c r="I134" s="7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01" t="s">
        <v>437</v>
      </c>
      <c r="V134" s="91" t="s">
        <v>443</v>
      </c>
      <c r="W134" s="102">
        <v>32.0</v>
      </c>
      <c r="X134" s="102">
        <v>64.0</v>
      </c>
      <c r="Y134" s="102">
        <v>0.0</v>
      </c>
      <c r="Z134" s="103">
        <v>0.0</v>
      </c>
      <c r="AA134" s="104" t="s">
        <v>444</v>
      </c>
      <c r="AB134" s="105">
        <v>558.01</v>
      </c>
      <c r="AC134" s="1"/>
      <c r="AD134" s="86">
        <f>if(Miscellaneous!E134*AWS!C$5&gt; 256, "", Miscellaneous!E134*AWS!C$5)</f>
        <v>133</v>
      </c>
      <c r="AE134" s="110"/>
      <c r="AF134" s="110"/>
      <c r="AG134" s="110"/>
    </row>
    <row r="135">
      <c r="A135" s="1"/>
      <c r="B135" s="1"/>
      <c r="C135" s="1"/>
      <c r="D135" s="1"/>
      <c r="E135" s="1"/>
      <c r="F135" s="1"/>
      <c r="G135" s="1"/>
      <c r="H135" s="1"/>
      <c r="I135" s="76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01" t="s">
        <v>437</v>
      </c>
      <c r="V135" s="91" t="s">
        <v>445</v>
      </c>
      <c r="W135" s="102">
        <v>48.0</v>
      </c>
      <c r="X135" s="102">
        <v>96.0</v>
      </c>
      <c r="Y135" s="102">
        <v>0.0</v>
      </c>
      <c r="Z135" s="103">
        <v>0.0</v>
      </c>
      <c r="AA135" s="104" t="s">
        <v>446</v>
      </c>
      <c r="AB135" s="105">
        <v>837.02</v>
      </c>
      <c r="AC135" s="1"/>
      <c r="AD135" s="86">
        <f>if(Miscellaneous!E135*AWS!C$5&gt; 256, "", Miscellaneous!E135*AWS!C$5)</f>
        <v>134</v>
      </c>
      <c r="AE135" s="110"/>
      <c r="AF135" s="110"/>
      <c r="AG135" s="110"/>
    </row>
    <row r="136">
      <c r="A136" s="1"/>
      <c r="B136" s="1"/>
      <c r="C136" s="1"/>
      <c r="D136" s="1"/>
      <c r="E136" s="1"/>
      <c r="F136" s="1"/>
      <c r="G136" s="1"/>
      <c r="H136" s="1"/>
      <c r="I136" s="7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01" t="s">
        <v>437</v>
      </c>
      <c r="V136" s="91" t="s">
        <v>447</v>
      </c>
      <c r="W136" s="102">
        <v>64.0</v>
      </c>
      <c r="X136" s="102">
        <v>128.0</v>
      </c>
      <c r="Y136" s="102">
        <v>0.0</v>
      </c>
      <c r="Z136" s="103">
        <v>0.0</v>
      </c>
      <c r="AA136" s="104" t="s">
        <v>448</v>
      </c>
      <c r="AB136" s="105">
        <v>1116.02</v>
      </c>
      <c r="AC136" s="1"/>
      <c r="AD136" s="86">
        <f>if(Miscellaneous!E136*AWS!C$5&gt; 256, "", Miscellaneous!E136*AWS!C$5)</f>
        <v>135</v>
      </c>
      <c r="AE136" s="110"/>
      <c r="AF136" s="110"/>
      <c r="AG136" s="110"/>
    </row>
    <row r="137">
      <c r="A137" s="1"/>
      <c r="B137" s="1"/>
      <c r="C137" s="1"/>
      <c r="D137" s="1"/>
      <c r="E137" s="1"/>
      <c r="F137" s="1"/>
      <c r="G137" s="1"/>
      <c r="H137" s="1"/>
      <c r="I137" s="76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01" t="s">
        <v>449</v>
      </c>
      <c r="V137" s="91" t="s">
        <v>450</v>
      </c>
      <c r="W137" s="102">
        <v>1.0</v>
      </c>
      <c r="X137" s="102">
        <v>2.0</v>
      </c>
      <c r="Y137" s="102">
        <v>1900.0</v>
      </c>
      <c r="Z137" s="103">
        <f>0.125/4</f>
        <v>0.03125</v>
      </c>
      <c r="AA137" s="104" t="s">
        <v>300</v>
      </c>
      <c r="AB137" s="105">
        <v>20.88</v>
      </c>
      <c r="AC137" s="1"/>
      <c r="AD137" s="86">
        <f>if(Miscellaneous!E137*AWS!C$5&gt; 256, "", Miscellaneous!E137*AWS!C$5)</f>
        <v>136</v>
      </c>
      <c r="AE137" s="110"/>
      <c r="AF137" s="110"/>
      <c r="AG137" s="110"/>
    </row>
    <row r="138">
      <c r="A138" s="1"/>
      <c r="B138" s="1"/>
      <c r="C138" s="1"/>
      <c r="D138" s="1"/>
      <c r="E138" s="1"/>
      <c r="F138" s="1"/>
      <c r="G138" s="1"/>
      <c r="H138" s="1"/>
      <c r="I138" s="76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01" t="s">
        <v>449</v>
      </c>
      <c r="V138" s="91" t="s">
        <v>451</v>
      </c>
      <c r="W138" s="102">
        <v>2.0</v>
      </c>
      <c r="X138" s="102">
        <v>4.0</v>
      </c>
      <c r="Y138" s="102">
        <v>1900.0</v>
      </c>
      <c r="Z138" s="103">
        <f>0.125/2</f>
        <v>0.0625</v>
      </c>
      <c r="AA138" s="104" t="s">
        <v>300</v>
      </c>
      <c r="AB138" s="105">
        <v>41.76</v>
      </c>
      <c r="AC138" s="1"/>
      <c r="AD138" s="86">
        <f>if(Miscellaneous!E138*AWS!C$5&gt; 256, "", Miscellaneous!E138*AWS!C$5)</f>
        <v>137</v>
      </c>
      <c r="AE138" s="110"/>
      <c r="AF138" s="110"/>
      <c r="AG138" s="110"/>
    </row>
    <row r="139">
      <c r="A139" s="1"/>
      <c r="B139" s="1"/>
      <c r="C139" s="1"/>
      <c r="D139" s="1"/>
      <c r="E139" s="1"/>
      <c r="F139" s="1"/>
      <c r="G139" s="1"/>
      <c r="H139" s="1"/>
      <c r="I139" s="7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01" t="s">
        <v>449</v>
      </c>
      <c r="V139" s="91" t="s">
        <v>452</v>
      </c>
      <c r="W139" s="102">
        <v>4.0</v>
      </c>
      <c r="X139" s="102">
        <v>8.0</v>
      </c>
      <c r="Y139" s="102">
        <v>1900.0</v>
      </c>
      <c r="Z139" s="103">
        <v>0.125</v>
      </c>
      <c r="AA139" s="104" t="s">
        <v>300</v>
      </c>
      <c r="AB139" s="105">
        <v>83.44</v>
      </c>
      <c r="AC139" s="1"/>
      <c r="AD139" s="86">
        <f>if(Miscellaneous!E139*AWS!C$5&gt; 256, "", Miscellaneous!E139*AWS!C$5)</f>
        <v>138</v>
      </c>
      <c r="AE139" s="110"/>
      <c r="AF139" s="110"/>
      <c r="AG139" s="110"/>
    </row>
    <row r="140">
      <c r="A140" s="1"/>
      <c r="B140" s="1"/>
      <c r="C140" s="1"/>
      <c r="D140" s="1"/>
      <c r="E140" s="1"/>
      <c r="F140" s="1"/>
      <c r="G140" s="1"/>
      <c r="H140" s="1"/>
      <c r="I140" s="7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01" t="s">
        <v>449</v>
      </c>
      <c r="V140" s="91" t="s">
        <v>453</v>
      </c>
      <c r="W140" s="102">
        <v>8.0</v>
      </c>
      <c r="X140" s="102">
        <v>16.0</v>
      </c>
      <c r="Y140" s="102">
        <v>1900.0</v>
      </c>
      <c r="Z140" s="103">
        <v>0.25</v>
      </c>
      <c r="AA140" s="104" t="s">
        <v>441</v>
      </c>
      <c r="AB140" s="105">
        <v>166.95</v>
      </c>
      <c r="AC140" s="1"/>
      <c r="AD140" s="86">
        <f>if(Miscellaneous!E140*AWS!C$5&gt; 256, "", Miscellaneous!E140*AWS!C$5)</f>
        <v>139</v>
      </c>
      <c r="AE140" s="110"/>
      <c r="AF140" s="110"/>
      <c r="AG140" s="110"/>
    </row>
    <row r="141">
      <c r="A141" s="1"/>
      <c r="B141" s="1"/>
      <c r="C141" s="1"/>
      <c r="D141" s="1"/>
      <c r="E141" s="1"/>
      <c r="F141" s="1"/>
      <c r="G141" s="1"/>
      <c r="H141" s="1"/>
      <c r="I141" s="76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01" t="s">
        <v>454</v>
      </c>
      <c r="V141" s="91" t="s">
        <v>455</v>
      </c>
      <c r="W141" s="102">
        <v>16.0</v>
      </c>
      <c r="X141" s="102">
        <v>32.0</v>
      </c>
      <c r="Y141" s="102">
        <v>1900.0</v>
      </c>
      <c r="Z141" s="103">
        <v>0.5</v>
      </c>
      <c r="AA141" s="104" t="s">
        <v>441</v>
      </c>
      <c r="AB141" s="105">
        <v>333.9</v>
      </c>
      <c r="AC141" s="1"/>
      <c r="AD141" s="86">
        <f>if(Miscellaneous!E141*AWS!C$5&gt; 256, "", Miscellaneous!E141*AWS!C$5)</f>
        <v>140</v>
      </c>
      <c r="AE141" s="110"/>
      <c r="AF141" s="110"/>
      <c r="AG141" s="110"/>
    </row>
    <row r="142">
      <c r="A142" s="1"/>
      <c r="B142" s="1"/>
      <c r="C142" s="1"/>
      <c r="D142" s="1"/>
      <c r="E142" s="1"/>
      <c r="F142" s="1"/>
      <c r="G142" s="1"/>
      <c r="H142" s="1"/>
      <c r="I142" s="76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01" t="s">
        <v>449</v>
      </c>
      <c r="V142" s="91" t="s">
        <v>456</v>
      </c>
      <c r="W142" s="102">
        <v>32.0</v>
      </c>
      <c r="X142" s="102">
        <v>64.0</v>
      </c>
      <c r="Y142" s="102">
        <v>1900.0</v>
      </c>
      <c r="Z142" s="103">
        <v>1.0</v>
      </c>
      <c r="AA142" s="104" t="s">
        <v>444</v>
      </c>
      <c r="AB142" s="105">
        <v>667.8</v>
      </c>
      <c r="AC142" s="1"/>
      <c r="AD142" s="86">
        <f>if(Miscellaneous!E142*AWS!C$5&gt; 256, "", Miscellaneous!E142*AWS!C$5)</f>
        <v>141</v>
      </c>
      <c r="AE142" s="110"/>
      <c r="AF142" s="110"/>
      <c r="AG142" s="110"/>
    </row>
    <row r="143">
      <c r="A143" s="1"/>
      <c r="B143" s="1"/>
      <c r="C143" s="1"/>
      <c r="D143" s="1"/>
      <c r="E143" s="1"/>
      <c r="F143" s="1"/>
      <c r="G143" s="1"/>
      <c r="H143" s="1"/>
      <c r="I143" s="7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01" t="s">
        <v>449</v>
      </c>
      <c r="V143" s="91" t="s">
        <v>457</v>
      </c>
      <c r="W143" s="102">
        <v>48.0</v>
      </c>
      <c r="X143" s="102">
        <v>96.0</v>
      </c>
      <c r="Y143" s="102">
        <v>1900.0</v>
      </c>
      <c r="Z143" s="103">
        <v>1.5</v>
      </c>
      <c r="AA143" s="104" t="s">
        <v>446</v>
      </c>
      <c r="AB143" s="105">
        <v>1001.63</v>
      </c>
      <c r="AC143" s="1"/>
      <c r="AD143" s="86">
        <f>if(Miscellaneous!E143*AWS!C$5&gt; 256, "", Miscellaneous!E143*AWS!C$5)</f>
        <v>142</v>
      </c>
      <c r="AE143" s="110"/>
      <c r="AF143" s="110"/>
      <c r="AG143" s="110"/>
    </row>
    <row r="144">
      <c r="A144" s="1"/>
      <c r="B144" s="1"/>
      <c r="C144" s="1"/>
      <c r="D144" s="1"/>
      <c r="E144" s="1"/>
      <c r="F144" s="1"/>
      <c r="G144" s="1"/>
      <c r="H144" s="1"/>
      <c r="I144" s="76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01" t="s">
        <v>449</v>
      </c>
      <c r="V144" s="91" t="s">
        <v>458</v>
      </c>
      <c r="W144" s="102">
        <v>64.0</v>
      </c>
      <c r="X144" s="102">
        <v>128.0</v>
      </c>
      <c r="Y144" s="102">
        <v>1900.0</v>
      </c>
      <c r="Z144" s="103">
        <v>2.0</v>
      </c>
      <c r="AA144" s="104" t="s">
        <v>448</v>
      </c>
      <c r="AB144" s="105">
        <v>1335.54</v>
      </c>
      <c r="AC144" s="1"/>
      <c r="AD144" s="86">
        <f>if(Miscellaneous!E144*AWS!C$5&gt; 256, "", Miscellaneous!E144*AWS!C$5)</f>
        <v>143</v>
      </c>
      <c r="AE144" s="110"/>
      <c r="AF144" s="110"/>
      <c r="AG144" s="110"/>
    </row>
    <row r="145">
      <c r="A145" s="1"/>
      <c r="B145" s="1"/>
      <c r="C145" s="1"/>
      <c r="D145" s="1"/>
      <c r="E145" s="1"/>
      <c r="F145" s="1"/>
      <c r="G145" s="1"/>
      <c r="H145" s="1"/>
      <c r="I145" s="76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01" t="s">
        <v>459</v>
      </c>
      <c r="V145" s="91" t="s">
        <v>460</v>
      </c>
      <c r="W145" s="102">
        <v>1.0</v>
      </c>
      <c r="X145" s="102">
        <v>2.0</v>
      </c>
      <c r="Y145" s="102">
        <v>0.0</v>
      </c>
      <c r="Z145" s="103">
        <v>0.0</v>
      </c>
      <c r="AA145" s="104" t="s">
        <v>284</v>
      </c>
      <c r="AB145" s="105">
        <v>28.69</v>
      </c>
      <c r="AC145" s="1"/>
      <c r="AD145" s="86">
        <f>if(Miscellaneous!E145*AWS!C$5&gt; 256, "", Miscellaneous!E145*AWS!C$5)</f>
        <v>144</v>
      </c>
      <c r="AE145" s="110"/>
      <c r="AF145" s="110"/>
      <c r="AG145" s="110"/>
    </row>
    <row r="146">
      <c r="A146" s="1"/>
      <c r="B146" s="1"/>
      <c r="C146" s="1"/>
      <c r="D146" s="1"/>
      <c r="E146" s="1"/>
      <c r="F146" s="1"/>
      <c r="G146" s="1"/>
      <c r="H146" s="1"/>
      <c r="I146" s="76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01" t="s">
        <v>461</v>
      </c>
      <c r="V146" s="91" t="s">
        <v>462</v>
      </c>
      <c r="W146" s="102">
        <v>2.0</v>
      </c>
      <c r="X146" s="102">
        <v>4.0</v>
      </c>
      <c r="Y146" s="102">
        <v>0.0</v>
      </c>
      <c r="Z146" s="103">
        <v>0.0</v>
      </c>
      <c r="AA146" s="104" t="s">
        <v>408</v>
      </c>
      <c r="AB146" s="105">
        <v>57.38</v>
      </c>
      <c r="AC146" s="1"/>
      <c r="AD146" s="86">
        <f>if(Miscellaneous!E146*AWS!C$5&gt; 256, "", Miscellaneous!E146*AWS!C$5)</f>
        <v>145</v>
      </c>
      <c r="AE146" s="110"/>
      <c r="AF146" s="110"/>
      <c r="AG146" s="110"/>
    </row>
    <row r="147">
      <c r="A147" s="1"/>
      <c r="B147" s="1"/>
      <c r="C147" s="1"/>
      <c r="D147" s="1"/>
      <c r="E147" s="1"/>
      <c r="F147" s="1"/>
      <c r="G147" s="1"/>
      <c r="H147" s="1"/>
      <c r="I147" s="76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01" t="s">
        <v>461</v>
      </c>
      <c r="V147" s="91" t="s">
        <v>463</v>
      </c>
      <c r="W147" s="102">
        <v>4.0</v>
      </c>
      <c r="X147" s="102">
        <v>8.0</v>
      </c>
      <c r="Y147" s="102">
        <v>0.0</v>
      </c>
      <c r="Z147" s="103">
        <v>0.0</v>
      </c>
      <c r="AA147" s="104" t="s">
        <v>410</v>
      </c>
      <c r="AB147" s="105">
        <v>114.76</v>
      </c>
      <c r="AC147" s="1"/>
      <c r="AD147" s="86">
        <f>if(Miscellaneous!E147*AWS!C$5&gt; 256, "", Miscellaneous!E147*AWS!C$5)</f>
        <v>146</v>
      </c>
      <c r="AE147" s="110"/>
      <c r="AF147" s="110"/>
      <c r="AG147" s="110"/>
    </row>
    <row r="148">
      <c r="A148" s="1"/>
      <c r="B148" s="1"/>
      <c r="C148" s="1"/>
      <c r="D148" s="1"/>
      <c r="E148" s="1"/>
      <c r="F148" s="1"/>
      <c r="G148" s="1"/>
      <c r="H148" s="1"/>
      <c r="I148" s="76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01" t="s">
        <v>461</v>
      </c>
      <c r="V148" s="91" t="s">
        <v>464</v>
      </c>
      <c r="W148" s="102">
        <v>8.0</v>
      </c>
      <c r="X148" s="102">
        <v>16.0</v>
      </c>
      <c r="Y148" s="102">
        <v>0.0</v>
      </c>
      <c r="Z148" s="103">
        <v>0.0</v>
      </c>
      <c r="AA148" s="104" t="s">
        <v>413</v>
      </c>
      <c r="AB148" s="105">
        <v>229.59</v>
      </c>
      <c r="AC148" s="1"/>
      <c r="AD148" s="86">
        <f>if(Miscellaneous!E148*AWS!C$5&gt; 256, "", Miscellaneous!E148*AWS!C$5)</f>
        <v>147</v>
      </c>
      <c r="AE148" s="110"/>
      <c r="AF148" s="110"/>
      <c r="AG148" s="110"/>
    </row>
    <row r="149">
      <c r="A149" s="1"/>
      <c r="B149" s="1"/>
      <c r="C149" s="1"/>
      <c r="D149" s="1"/>
      <c r="E149" s="1"/>
      <c r="F149" s="1"/>
      <c r="G149" s="1"/>
      <c r="H149" s="1"/>
      <c r="I149" s="76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01" t="s">
        <v>461</v>
      </c>
      <c r="V149" s="91" t="s">
        <v>465</v>
      </c>
      <c r="W149" s="102">
        <v>16.0</v>
      </c>
      <c r="X149" s="102">
        <v>32.0</v>
      </c>
      <c r="Y149" s="102">
        <v>0.0</v>
      </c>
      <c r="Z149" s="103">
        <v>0.0</v>
      </c>
      <c r="AA149" s="104" t="s">
        <v>294</v>
      </c>
      <c r="AB149" s="105">
        <v>459.17</v>
      </c>
      <c r="AC149" s="1"/>
      <c r="AD149" s="86">
        <f>if(Miscellaneous!E149*AWS!C$5&gt; 256, "", Miscellaneous!E149*AWS!C$5)</f>
        <v>148</v>
      </c>
      <c r="AE149" s="110"/>
      <c r="AF149" s="110"/>
      <c r="AG149" s="110"/>
    </row>
    <row r="150">
      <c r="A150" s="1"/>
      <c r="B150" s="1"/>
      <c r="C150" s="1"/>
      <c r="D150" s="1"/>
      <c r="E150" s="1"/>
      <c r="F150" s="1"/>
      <c r="G150" s="1"/>
      <c r="H150" s="1"/>
      <c r="I150" s="76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01" t="s">
        <v>461</v>
      </c>
      <c r="V150" s="91" t="s">
        <v>466</v>
      </c>
      <c r="W150" s="102">
        <v>32.0</v>
      </c>
      <c r="X150" s="102">
        <v>64.0</v>
      </c>
      <c r="Y150" s="102">
        <v>0.0</v>
      </c>
      <c r="Z150" s="103">
        <v>0.0</v>
      </c>
      <c r="AA150" s="104" t="s">
        <v>296</v>
      </c>
      <c r="AB150" s="105">
        <v>918.34</v>
      </c>
      <c r="AC150" s="1"/>
      <c r="AD150" s="86">
        <f>if(Miscellaneous!E150*AWS!C$5&gt; 256, "", Miscellaneous!E150*AWS!C$5)</f>
        <v>149</v>
      </c>
      <c r="AE150" s="110"/>
      <c r="AF150" s="110"/>
      <c r="AG150" s="110"/>
    </row>
    <row r="151">
      <c r="A151" s="1"/>
      <c r="B151" s="1"/>
      <c r="C151" s="1"/>
      <c r="D151" s="1"/>
      <c r="E151" s="1"/>
      <c r="F151" s="1"/>
      <c r="G151" s="1"/>
      <c r="H151" s="1"/>
      <c r="I151" s="7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01" t="s">
        <v>461</v>
      </c>
      <c r="V151" s="91" t="s">
        <v>467</v>
      </c>
      <c r="W151" s="102">
        <v>48.0</v>
      </c>
      <c r="X151" s="102">
        <v>96.0</v>
      </c>
      <c r="Y151" s="102">
        <v>0.0</v>
      </c>
      <c r="Z151" s="103">
        <v>0.0</v>
      </c>
      <c r="AA151" s="104" t="s">
        <v>419</v>
      </c>
      <c r="AB151" s="105">
        <v>1377.51</v>
      </c>
      <c r="AC151" s="1"/>
      <c r="AD151" s="86">
        <f>if(Miscellaneous!E151*AWS!C$5&gt; 256, "", Miscellaneous!E151*AWS!C$5)</f>
        <v>150</v>
      </c>
      <c r="AE151" s="110"/>
      <c r="AF151" s="110"/>
      <c r="AG151" s="110"/>
    </row>
    <row r="152">
      <c r="A152" s="1"/>
      <c r="B152" s="1"/>
      <c r="C152" s="1"/>
      <c r="D152" s="1"/>
      <c r="E152" s="1"/>
      <c r="F152" s="1"/>
      <c r="G152" s="1"/>
      <c r="H152" s="1"/>
      <c r="I152" s="7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01" t="s">
        <v>461</v>
      </c>
      <c r="V152" s="91" t="s">
        <v>468</v>
      </c>
      <c r="W152" s="102">
        <v>64.0</v>
      </c>
      <c r="X152" s="102">
        <v>128.0</v>
      </c>
      <c r="Y152" s="102">
        <v>0.0</v>
      </c>
      <c r="Z152" s="103">
        <v>0.0</v>
      </c>
      <c r="AA152" s="104" t="s">
        <v>421</v>
      </c>
      <c r="AB152" s="105">
        <v>1836.68</v>
      </c>
      <c r="AC152" s="1"/>
      <c r="AD152" s="86">
        <f>if(Miscellaneous!E152*AWS!C$5&gt; 256, "", Miscellaneous!E152*AWS!C$5)</f>
        <v>151</v>
      </c>
      <c r="AE152" s="110"/>
      <c r="AF152" s="110"/>
      <c r="AG152" s="110"/>
    </row>
    <row r="153">
      <c r="A153" s="1"/>
      <c r="B153" s="1"/>
      <c r="C153" s="1"/>
      <c r="D153" s="1"/>
      <c r="E153" s="1"/>
      <c r="F153" s="1"/>
      <c r="G153" s="1"/>
      <c r="H153" s="1"/>
      <c r="I153" s="7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01" t="s">
        <v>469</v>
      </c>
      <c r="V153" s="91" t="s">
        <v>470</v>
      </c>
      <c r="W153" s="102">
        <v>2.0</v>
      </c>
      <c r="X153" s="102">
        <v>4.0</v>
      </c>
      <c r="Y153" s="102">
        <v>0.0</v>
      </c>
      <c r="Z153" s="103">
        <v>0.0</v>
      </c>
      <c r="AA153" s="104" t="s">
        <v>300</v>
      </c>
      <c r="AB153" s="105">
        <v>40.95</v>
      </c>
      <c r="AC153" s="1"/>
      <c r="AD153" s="86">
        <f>if(Miscellaneous!E153*AWS!C$5&gt; 256, "", Miscellaneous!E153*AWS!C$5)</f>
        <v>152</v>
      </c>
      <c r="AE153" s="110"/>
      <c r="AF153" s="110"/>
      <c r="AG153" s="110"/>
    </row>
    <row r="154">
      <c r="A154" s="1"/>
      <c r="B154" s="1"/>
      <c r="C154" s="1"/>
      <c r="D154" s="1"/>
      <c r="E154" s="1"/>
      <c r="F154" s="1"/>
      <c r="G154" s="1"/>
      <c r="H154" s="1"/>
      <c r="I154" s="7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01" t="s">
        <v>471</v>
      </c>
      <c r="V154" s="91" t="s">
        <v>472</v>
      </c>
      <c r="W154" s="102">
        <v>4.0</v>
      </c>
      <c r="X154" s="102">
        <v>8.0</v>
      </c>
      <c r="Y154" s="102">
        <v>0.0</v>
      </c>
      <c r="Z154" s="103">
        <v>0.0</v>
      </c>
      <c r="AA154" s="104" t="s">
        <v>300</v>
      </c>
      <c r="AB154" s="105">
        <v>81.88</v>
      </c>
      <c r="AC154" s="1"/>
      <c r="AD154" s="86">
        <f>if(Miscellaneous!E154*AWS!C$5&gt; 256, "", Miscellaneous!E154*AWS!C$5)</f>
        <v>153</v>
      </c>
      <c r="AE154" s="110"/>
      <c r="AF154" s="110"/>
      <c r="AG154" s="110"/>
    </row>
    <row r="155">
      <c r="A155" s="1"/>
      <c r="B155" s="1"/>
      <c r="C155" s="1"/>
      <c r="D155" s="1"/>
      <c r="E155" s="1"/>
      <c r="F155" s="1"/>
      <c r="G155" s="1"/>
      <c r="H155" s="1"/>
      <c r="I155" s="7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01" t="s">
        <v>471</v>
      </c>
      <c r="V155" s="91" t="s">
        <v>473</v>
      </c>
      <c r="W155" s="102">
        <v>8.0</v>
      </c>
      <c r="X155" s="102">
        <v>16.0</v>
      </c>
      <c r="Y155" s="102">
        <v>0.0</v>
      </c>
      <c r="Z155" s="103">
        <v>0.0</v>
      </c>
      <c r="AA155" s="104" t="s">
        <v>300</v>
      </c>
      <c r="AB155" s="105">
        <v>163.78</v>
      </c>
      <c r="AC155" s="1"/>
      <c r="AD155" s="86">
        <f>if(Miscellaneous!E155*AWS!C$5&gt; 256, "", Miscellaneous!E155*AWS!C$5)</f>
        <v>154</v>
      </c>
      <c r="AE155" s="110"/>
      <c r="AF155" s="110"/>
      <c r="AG155" s="110"/>
    </row>
    <row r="156">
      <c r="A156" s="1"/>
      <c r="B156" s="1"/>
      <c r="C156" s="1"/>
      <c r="D156" s="1"/>
      <c r="E156" s="1"/>
      <c r="F156" s="1"/>
      <c r="G156" s="1"/>
      <c r="H156" s="1"/>
      <c r="I156" s="76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01" t="s">
        <v>471</v>
      </c>
      <c r="V156" s="91" t="s">
        <v>474</v>
      </c>
      <c r="W156" s="102">
        <v>16.0</v>
      </c>
      <c r="X156" s="102">
        <v>32.0</v>
      </c>
      <c r="Y156" s="102">
        <v>0.0</v>
      </c>
      <c r="Z156" s="103">
        <v>0.0</v>
      </c>
      <c r="AA156" s="104" t="s">
        <v>300</v>
      </c>
      <c r="AB156" s="105">
        <v>327.55</v>
      </c>
      <c r="AC156" s="1"/>
      <c r="AD156" s="86">
        <f>if(Miscellaneous!E156*AWS!C$5&gt; 256, "", Miscellaneous!E156*AWS!C$5)</f>
        <v>155</v>
      </c>
      <c r="AE156" s="110"/>
      <c r="AF156" s="110"/>
      <c r="AG156" s="110"/>
    </row>
    <row r="157">
      <c r="A157" s="1"/>
      <c r="B157" s="1"/>
      <c r="C157" s="1"/>
      <c r="D157" s="1"/>
      <c r="E157" s="1"/>
      <c r="F157" s="1"/>
      <c r="G157" s="1"/>
      <c r="H157" s="1"/>
      <c r="I157" s="76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01" t="s">
        <v>471</v>
      </c>
      <c r="V157" s="91" t="s">
        <v>475</v>
      </c>
      <c r="W157" s="102">
        <v>32.0</v>
      </c>
      <c r="X157" s="102">
        <v>64.0</v>
      </c>
      <c r="Y157" s="102">
        <v>0.0</v>
      </c>
      <c r="Z157" s="103">
        <v>0.0</v>
      </c>
      <c r="AA157" s="104" t="s">
        <v>300</v>
      </c>
      <c r="AB157" s="105">
        <v>655.09</v>
      </c>
      <c r="AC157" s="1"/>
      <c r="AD157" s="86">
        <f>if(Miscellaneous!E157*AWS!C$5&gt; 256, "", Miscellaneous!E157*AWS!C$5)</f>
        <v>156</v>
      </c>
      <c r="AE157" s="110"/>
      <c r="AF157" s="110"/>
      <c r="AG157" s="110"/>
    </row>
    <row r="158">
      <c r="A158" s="1"/>
      <c r="B158" s="1"/>
      <c r="C158" s="1"/>
      <c r="D158" s="1"/>
      <c r="E158" s="1"/>
      <c r="F158" s="1"/>
      <c r="G158" s="1"/>
      <c r="H158" s="1"/>
      <c r="I158" s="7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01" t="s">
        <v>471</v>
      </c>
      <c r="V158" s="91" t="s">
        <v>476</v>
      </c>
      <c r="W158" s="102">
        <v>48.0</v>
      </c>
      <c r="X158" s="102">
        <v>96.0</v>
      </c>
      <c r="Y158" s="102">
        <v>0.0</v>
      </c>
      <c r="Z158" s="103">
        <v>0.0</v>
      </c>
      <c r="AA158" s="104" t="s">
        <v>477</v>
      </c>
      <c r="AB158" s="105">
        <v>982.65</v>
      </c>
      <c r="AC158" s="1"/>
      <c r="AD158" s="86">
        <f>if(Miscellaneous!E158*AWS!C$5&gt; 256, "", Miscellaneous!E158*AWS!C$5)</f>
        <v>157</v>
      </c>
      <c r="AE158" s="110"/>
      <c r="AF158" s="110"/>
      <c r="AG158" s="110"/>
    </row>
    <row r="159">
      <c r="A159" s="1"/>
      <c r="B159" s="1"/>
      <c r="C159" s="1"/>
      <c r="D159" s="1"/>
      <c r="E159" s="1"/>
      <c r="F159" s="1"/>
      <c r="G159" s="1"/>
      <c r="H159" s="1"/>
      <c r="I159" s="76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01" t="s">
        <v>471</v>
      </c>
      <c r="V159" s="91" t="s">
        <v>478</v>
      </c>
      <c r="W159" s="102">
        <v>64.0</v>
      </c>
      <c r="X159" s="102">
        <v>128.0</v>
      </c>
      <c r="Y159" s="102">
        <v>0.0</v>
      </c>
      <c r="Z159" s="103">
        <v>0.0</v>
      </c>
      <c r="AA159" s="104" t="s">
        <v>284</v>
      </c>
      <c r="AB159" s="105">
        <v>1310.19</v>
      </c>
      <c r="AC159" s="1"/>
      <c r="AD159" s="86">
        <f>if(Miscellaneous!E159*AWS!C$5&gt; 256, "", Miscellaneous!E159*AWS!C$5)</f>
        <v>158</v>
      </c>
      <c r="AE159" s="110"/>
      <c r="AF159" s="110"/>
      <c r="AG159" s="110"/>
    </row>
    <row r="160">
      <c r="A160" s="1"/>
      <c r="B160" s="1"/>
      <c r="C160" s="1"/>
      <c r="D160" s="1"/>
      <c r="E160" s="1"/>
      <c r="F160" s="1"/>
      <c r="G160" s="1"/>
      <c r="H160" s="1"/>
      <c r="I160" s="7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01" t="s">
        <v>479</v>
      </c>
      <c r="V160" s="91" t="s">
        <v>480</v>
      </c>
      <c r="W160" s="102">
        <v>2.0</v>
      </c>
      <c r="X160" s="102">
        <v>4.0</v>
      </c>
      <c r="Y160" s="102">
        <v>0.0</v>
      </c>
      <c r="Z160" s="103">
        <v>0.0</v>
      </c>
      <c r="AA160" s="104" t="s">
        <v>300</v>
      </c>
      <c r="AB160" s="105">
        <v>43.1</v>
      </c>
      <c r="AC160" s="1"/>
      <c r="AD160" s="86">
        <f>if(Miscellaneous!E160*AWS!C$5&gt; 256, "", Miscellaneous!E160*AWS!C$5)</f>
        <v>159</v>
      </c>
      <c r="AE160" s="110"/>
      <c r="AF160" s="110"/>
      <c r="AG160" s="110"/>
    </row>
    <row r="161">
      <c r="A161" s="1"/>
      <c r="B161" s="1"/>
      <c r="C161" s="1"/>
      <c r="D161" s="1"/>
      <c r="E161" s="1"/>
      <c r="F161" s="1"/>
      <c r="G161" s="1"/>
      <c r="H161" s="1"/>
      <c r="I161" s="76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01" t="s">
        <v>481</v>
      </c>
      <c r="V161" s="91" t="s">
        <v>482</v>
      </c>
      <c r="W161" s="102">
        <v>4.0</v>
      </c>
      <c r="X161" s="102">
        <v>8.0</v>
      </c>
      <c r="Y161" s="102">
        <v>0.0</v>
      </c>
      <c r="Z161" s="103">
        <v>0.0</v>
      </c>
      <c r="AA161" s="104" t="s">
        <v>300</v>
      </c>
      <c r="AB161" s="105">
        <v>86.2</v>
      </c>
      <c r="AC161" s="1"/>
      <c r="AD161" s="86">
        <f>if(Miscellaneous!E161*AWS!C$5&gt; 256, "", Miscellaneous!E161*AWS!C$5)</f>
        <v>160</v>
      </c>
      <c r="AE161" s="110"/>
      <c r="AF161" s="110"/>
      <c r="AG161" s="110"/>
    </row>
    <row r="162">
      <c r="A162" s="1"/>
      <c r="B162" s="1"/>
      <c r="C162" s="1"/>
      <c r="D162" s="1"/>
      <c r="E162" s="1"/>
      <c r="F162" s="1"/>
      <c r="G162" s="1"/>
      <c r="H162" s="1"/>
      <c r="I162" s="76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01" t="s">
        <v>481</v>
      </c>
      <c r="V162" s="91" t="s">
        <v>483</v>
      </c>
      <c r="W162" s="102">
        <v>8.0</v>
      </c>
      <c r="X162" s="102">
        <v>16.0</v>
      </c>
      <c r="Y162" s="102">
        <v>0.0</v>
      </c>
      <c r="Z162" s="103">
        <v>0.0</v>
      </c>
      <c r="AA162" s="104" t="s">
        <v>300</v>
      </c>
      <c r="AB162" s="105">
        <v>172.4</v>
      </c>
      <c r="AC162" s="1"/>
      <c r="AD162" s="86">
        <f>if(Miscellaneous!E162*AWS!C$5&gt; 256, "", Miscellaneous!E162*AWS!C$5)</f>
        <v>161</v>
      </c>
      <c r="AE162" s="110"/>
      <c r="AF162" s="110"/>
      <c r="AG162" s="110"/>
    </row>
    <row r="163">
      <c r="A163" s="1"/>
      <c r="B163" s="1"/>
      <c r="C163" s="1"/>
      <c r="D163" s="1"/>
      <c r="E163" s="1"/>
      <c r="F163" s="1"/>
      <c r="G163" s="1"/>
      <c r="H163" s="1"/>
      <c r="I163" s="76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01" t="s">
        <v>481</v>
      </c>
      <c r="V163" s="91" t="s">
        <v>484</v>
      </c>
      <c r="W163" s="102">
        <v>16.0</v>
      </c>
      <c r="X163" s="102">
        <v>32.0</v>
      </c>
      <c r="Y163" s="102">
        <v>0.0</v>
      </c>
      <c r="Z163" s="103">
        <v>0.0</v>
      </c>
      <c r="AA163" s="104" t="s">
        <v>300</v>
      </c>
      <c r="AB163" s="105">
        <v>344.79</v>
      </c>
      <c r="AC163" s="1"/>
      <c r="AD163" s="86">
        <f>if(Miscellaneous!E163*AWS!C$5&gt; 256, "", Miscellaneous!E163*AWS!C$5)</f>
        <v>162</v>
      </c>
      <c r="AE163" s="110"/>
      <c r="AF163" s="110"/>
      <c r="AG163" s="110"/>
    </row>
    <row r="164">
      <c r="A164" s="1"/>
      <c r="B164" s="1"/>
      <c r="C164" s="1"/>
      <c r="D164" s="1"/>
      <c r="E164" s="1"/>
      <c r="F164" s="1"/>
      <c r="G164" s="1"/>
      <c r="H164" s="1"/>
      <c r="I164" s="7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01" t="s">
        <v>481</v>
      </c>
      <c r="V164" s="91" t="s">
        <v>485</v>
      </c>
      <c r="W164" s="102">
        <v>32.0</v>
      </c>
      <c r="X164" s="102">
        <v>64.0</v>
      </c>
      <c r="Y164" s="102">
        <v>0.0</v>
      </c>
      <c r="Z164" s="103">
        <v>0.0</v>
      </c>
      <c r="AA164" s="104" t="s">
        <v>308</v>
      </c>
      <c r="AB164" s="105">
        <v>689.57</v>
      </c>
      <c r="AC164" s="1"/>
      <c r="AD164" s="86">
        <f>if(Miscellaneous!E164*AWS!C$5&gt; 256, "", Miscellaneous!E164*AWS!C$5)</f>
        <v>163</v>
      </c>
      <c r="AE164" s="110"/>
      <c r="AF164" s="110"/>
      <c r="AG164" s="110"/>
    </row>
    <row r="165">
      <c r="A165" s="1"/>
      <c r="B165" s="1"/>
      <c r="C165" s="1"/>
      <c r="D165" s="1"/>
      <c r="E165" s="1"/>
      <c r="F165" s="1"/>
      <c r="G165" s="1"/>
      <c r="H165" s="1"/>
      <c r="I165" s="7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01" t="s">
        <v>481</v>
      </c>
      <c r="V165" s="91" t="s">
        <v>486</v>
      </c>
      <c r="W165" s="102">
        <v>48.0</v>
      </c>
      <c r="X165" s="102">
        <v>96.0</v>
      </c>
      <c r="Y165" s="102">
        <v>0.0</v>
      </c>
      <c r="Z165" s="103">
        <v>0.0</v>
      </c>
      <c r="AA165" s="104" t="s">
        <v>311</v>
      </c>
      <c r="AB165" s="105">
        <v>1034.36</v>
      </c>
      <c r="AC165" s="1"/>
      <c r="AD165" s="86">
        <f>if(Miscellaneous!E165*AWS!C$5&gt; 256, "", Miscellaneous!E165*AWS!C$5)</f>
        <v>164</v>
      </c>
      <c r="AE165" s="110"/>
      <c r="AF165" s="110"/>
      <c r="AG165" s="110"/>
    </row>
    <row r="166">
      <c r="A166" s="1"/>
      <c r="B166" s="1"/>
      <c r="C166" s="1"/>
      <c r="D166" s="1"/>
      <c r="E166" s="1"/>
      <c r="F166" s="1"/>
      <c r="G166" s="1"/>
      <c r="H166" s="1"/>
      <c r="I166" s="76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01" t="s">
        <v>481</v>
      </c>
      <c r="V166" s="91" t="s">
        <v>487</v>
      </c>
      <c r="W166" s="102">
        <v>64.0</v>
      </c>
      <c r="X166" s="102">
        <v>128.0</v>
      </c>
      <c r="Y166" s="102">
        <v>0.0</v>
      </c>
      <c r="Z166" s="103">
        <v>0.0</v>
      </c>
      <c r="AA166" s="104" t="s">
        <v>208</v>
      </c>
      <c r="AB166" s="105">
        <v>1379.15</v>
      </c>
      <c r="AC166" s="1"/>
      <c r="AD166" s="86">
        <f>if(Miscellaneous!E166*AWS!C$5&gt; 256, "", Miscellaneous!E166*AWS!C$5)</f>
        <v>165</v>
      </c>
      <c r="AE166" s="110"/>
      <c r="AF166" s="110"/>
      <c r="AG166" s="110"/>
    </row>
    <row r="167">
      <c r="A167" s="1"/>
      <c r="B167" s="1"/>
      <c r="C167" s="1"/>
      <c r="D167" s="1"/>
      <c r="E167" s="1"/>
      <c r="F167" s="1"/>
      <c r="G167" s="1"/>
      <c r="H167" s="1"/>
      <c r="I167" s="76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01" t="s">
        <v>481</v>
      </c>
      <c r="V167" s="91" t="s">
        <v>488</v>
      </c>
      <c r="W167" s="102">
        <v>96.0</v>
      </c>
      <c r="X167" s="102">
        <v>192.0</v>
      </c>
      <c r="Y167" s="102">
        <v>0.0</v>
      </c>
      <c r="Z167" s="103">
        <v>0.0</v>
      </c>
      <c r="AA167" s="104" t="s">
        <v>315</v>
      </c>
      <c r="AB167" s="105">
        <v>2068.73</v>
      </c>
      <c r="AC167" s="1"/>
      <c r="AD167" s="86">
        <f>if(Miscellaneous!E167*AWS!C$5&gt; 256, "", Miscellaneous!E167*AWS!C$5)</f>
        <v>166</v>
      </c>
      <c r="AE167" s="110"/>
      <c r="AF167" s="110"/>
      <c r="AG167" s="110"/>
    </row>
    <row r="168">
      <c r="A168" s="1"/>
      <c r="B168" s="1"/>
      <c r="C168" s="1"/>
      <c r="D168" s="1"/>
      <c r="E168" s="1"/>
      <c r="F168" s="1"/>
      <c r="G168" s="1"/>
      <c r="H168" s="1"/>
      <c r="I168" s="76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01" t="s">
        <v>481</v>
      </c>
      <c r="V168" s="91" t="s">
        <v>489</v>
      </c>
      <c r="W168" s="102">
        <v>192.0</v>
      </c>
      <c r="X168" s="102">
        <v>384.0</v>
      </c>
      <c r="Y168" s="102">
        <v>0.0</v>
      </c>
      <c r="Z168" s="103">
        <v>0.0</v>
      </c>
      <c r="AA168" s="104" t="s">
        <v>294</v>
      </c>
      <c r="AB168" s="105">
        <v>4137.44</v>
      </c>
      <c r="AC168" s="1"/>
      <c r="AD168" s="86">
        <f>if(Miscellaneous!E168*AWS!C$5&gt; 256, "", Miscellaneous!E168*AWS!C$5)</f>
        <v>167</v>
      </c>
      <c r="AE168" s="110"/>
      <c r="AF168" s="110"/>
      <c r="AG168" s="110"/>
    </row>
    <row r="169">
      <c r="A169" s="1"/>
      <c r="B169" s="1"/>
      <c r="C169" s="1"/>
      <c r="D169" s="1"/>
      <c r="E169" s="1"/>
      <c r="F169" s="1"/>
      <c r="G169" s="1"/>
      <c r="H169" s="1"/>
      <c r="I169" s="76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01" t="s">
        <v>490</v>
      </c>
      <c r="V169" s="91" t="s">
        <v>491</v>
      </c>
      <c r="W169" s="102">
        <v>1.0</v>
      </c>
      <c r="X169" s="102">
        <v>2.0</v>
      </c>
      <c r="Y169" s="102">
        <v>0.0</v>
      </c>
      <c r="Z169" s="103">
        <v>0.0</v>
      </c>
      <c r="AA169" s="104" t="s">
        <v>300</v>
      </c>
      <c r="AB169" s="105">
        <v>19.18</v>
      </c>
      <c r="AC169" s="1"/>
      <c r="AD169" s="86">
        <f>if(Miscellaneous!E169*AWS!C$5&gt; 256, "", Miscellaneous!E169*AWS!C$5)</f>
        <v>168</v>
      </c>
      <c r="AE169" s="110"/>
      <c r="AF169" s="110"/>
      <c r="AG169" s="110"/>
    </row>
    <row r="170">
      <c r="A170" s="1"/>
      <c r="B170" s="1"/>
      <c r="C170" s="1"/>
      <c r="D170" s="1"/>
      <c r="E170" s="1"/>
      <c r="F170" s="1"/>
      <c r="G170" s="1"/>
      <c r="H170" s="1"/>
      <c r="I170" s="7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01" t="s">
        <v>492</v>
      </c>
      <c r="V170" s="91" t="s">
        <v>493</v>
      </c>
      <c r="W170" s="102">
        <v>2.0</v>
      </c>
      <c r="X170" s="102">
        <v>4.0</v>
      </c>
      <c r="Y170" s="102">
        <v>0.0</v>
      </c>
      <c r="Z170" s="103">
        <v>0.0</v>
      </c>
      <c r="AA170" s="104" t="s">
        <v>300</v>
      </c>
      <c r="AB170" s="105">
        <v>38.37</v>
      </c>
      <c r="AC170" s="1"/>
      <c r="AD170" s="86">
        <f>if(Miscellaneous!E170*AWS!C$5&gt; 256, "", Miscellaneous!E170*AWS!C$5)</f>
        <v>169</v>
      </c>
      <c r="AE170" s="110"/>
      <c r="AF170" s="110"/>
      <c r="AG170" s="110"/>
    </row>
    <row r="171">
      <c r="A171" s="1"/>
      <c r="B171" s="1"/>
      <c r="C171" s="1"/>
      <c r="D171" s="1"/>
      <c r="E171" s="1"/>
      <c r="F171" s="1"/>
      <c r="G171" s="1"/>
      <c r="H171" s="1"/>
      <c r="I171" s="76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01" t="s">
        <v>492</v>
      </c>
      <c r="V171" s="91" t="s">
        <v>494</v>
      </c>
      <c r="W171" s="102">
        <v>4.0</v>
      </c>
      <c r="X171" s="102">
        <v>8.0</v>
      </c>
      <c r="Y171" s="102">
        <v>0.0</v>
      </c>
      <c r="Z171" s="103">
        <v>0.0</v>
      </c>
      <c r="AA171" s="104" t="s">
        <v>300</v>
      </c>
      <c r="AB171" s="105">
        <v>76.74</v>
      </c>
      <c r="AC171" s="1"/>
      <c r="AD171" s="86">
        <f>if(Miscellaneous!E171*AWS!C$5&gt; 256, "", Miscellaneous!E171*AWS!C$5)</f>
        <v>170</v>
      </c>
      <c r="AE171" s="110"/>
      <c r="AF171" s="110"/>
      <c r="AG171" s="110"/>
    </row>
    <row r="172">
      <c r="A172" s="1"/>
      <c r="B172" s="1"/>
      <c r="C172" s="1"/>
      <c r="D172" s="1"/>
      <c r="E172" s="1"/>
      <c r="F172" s="1"/>
      <c r="G172" s="1"/>
      <c r="H172" s="1"/>
      <c r="I172" s="76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01" t="s">
        <v>492</v>
      </c>
      <c r="V172" s="91" t="s">
        <v>495</v>
      </c>
      <c r="W172" s="102">
        <v>8.0</v>
      </c>
      <c r="X172" s="102">
        <v>16.0</v>
      </c>
      <c r="Y172" s="102">
        <v>0.0</v>
      </c>
      <c r="Z172" s="103">
        <v>0.0</v>
      </c>
      <c r="AA172" s="104" t="s">
        <v>441</v>
      </c>
      <c r="AB172" s="105">
        <v>153.48</v>
      </c>
      <c r="AC172" s="1"/>
      <c r="AD172" s="86">
        <f>if(Miscellaneous!E172*AWS!C$5&gt; 256, "", Miscellaneous!E172*AWS!C$5)</f>
        <v>171</v>
      </c>
      <c r="AE172" s="110"/>
      <c r="AF172" s="110"/>
      <c r="AG172" s="110"/>
    </row>
    <row r="173">
      <c r="A173" s="1"/>
      <c r="B173" s="1"/>
      <c r="C173" s="1"/>
      <c r="D173" s="1"/>
      <c r="E173" s="1"/>
      <c r="F173" s="1"/>
      <c r="G173" s="1"/>
      <c r="H173" s="1"/>
      <c r="I173" s="7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01" t="s">
        <v>492</v>
      </c>
      <c r="V173" s="91" t="s">
        <v>496</v>
      </c>
      <c r="W173" s="102">
        <v>16.0</v>
      </c>
      <c r="X173" s="102">
        <v>32.0</v>
      </c>
      <c r="Y173" s="102">
        <v>0.0</v>
      </c>
      <c r="Z173" s="103">
        <v>0.0</v>
      </c>
      <c r="AA173" s="104" t="s">
        <v>441</v>
      </c>
      <c r="AB173" s="105">
        <v>306.94</v>
      </c>
      <c r="AC173" s="1"/>
      <c r="AD173" s="86">
        <f>if(Miscellaneous!E173*AWS!C$5&gt; 256, "", Miscellaneous!E173*AWS!C$5)</f>
        <v>172</v>
      </c>
      <c r="AE173" s="110"/>
      <c r="AF173" s="110"/>
      <c r="AG173" s="110"/>
    </row>
    <row r="174">
      <c r="A174" s="1"/>
      <c r="B174" s="1"/>
      <c r="C174" s="1"/>
      <c r="D174" s="1"/>
      <c r="E174" s="1"/>
      <c r="F174" s="1"/>
      <c r="G174" s="1"/>
      <c r="H174" s="1"/>
      <c r="I174" s="76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01" t="s">
        <v>492</v>
      </c>
      <c r="V174" s="91" t="s">
        <v>497</v>
      </c>
      <c r="W174" s="102">
        <v>32.0</v>
      </c>
      <c r="X174" s="102">
        <v>64.0</v>
      </c>
      <c r="Y174" s="102">
        <v>0.0</v>
      </c>
      <c r="Z174" s="103">
        <v>0.0</v>
      </c>
      <c r="AA174" s="104" t="s">
        <v>444</v>
      </c>
      <c r="AB174" s="105">
        <v>613.89</v>
      </c>
      <c r="AC174" s="1"/>
      <c r="AD174" s="86">
        <f>if(Miscellaneous!E174*AWS!C$5&gt; 256, "", Miscellaneous!E174*AWS!C$5)</f>
        <v>173</v>
      </c>
      <c r="AE174" s="110"/>
      <c r="AF174" s="110"/>
      <c r="AG174" s="110"/>
    </row>
    <row r="175">
      <c r="A175" s="1"/>
      <c r="B175" s="1"/>
      <c r="C175" s="1"/>
      <c r="D175" s="1"/>
      <c r="E175" s="1"/>
      <c r="F175" s="1"/>
      <c r="G175" s="1"/>
      <c r="H175" s="1"/>
      <c r="I175" s="76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01" t="s">
        <v>492</v>
      </c>
      <c r="V175" s="91" t="s">
        <v>498</v>
      </c>
      <c r="W175" s="102">
        <v>48.0</v>
      </c>
      <c r="X175" s="102">
        <v>96.0</v>
      </c>
      <c r="Y175" s="102">
        <v>0.0</v>
      </c>
      <c r="Z175" s="103">
        <v>0.0</v>
      </c>
      <c r="AA175" s="104" t="s">
        <v>446</v>
      </c>
      <c r="AB175" s="105">
        <v>920.84</v>
      </c>
      <c r="AC175" s="1"/>
      <c r="AD175" s="86">
        <f>if(Miscellaneous!E175*AWS!C$5&gt; 256, "", Miscellaneous!E175*AWS!C$5)</f>
        <v>174</v>
      </c>
      <c r="AE175" s="110"/>
      <c r="AF175" s="110"/>
      <c r="AG175" s="110"/>
    </row>
    <row r="176">
      <c r="A176" s="1"/>
      <c r="B176" s="1"/>
      <c r="C176" s="75"/>
      <c r="D176" s="1"/>
      <c r="E176" s="1"/>
      <c r="F176" s="1"/>
      <c r="G176" s="1"/>
      <c r="H176" s="1"/>
      <c r="I176" s="7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01" t="s">
        <v>492</v>
      </c>
      <c r="V176" s="91" t="s">
        <v>499</v>
      </c>
      <c r="W176" s="102">
        <v>64.0</v>
      </c>
      <c r="X176" s="102">
        <v>128.0</v>
      </c>
      <c r="Y176" s="102">
        <v>0.0</v>
      </c>
      <c r="Z176" s="103">
        <v>0.0</v>
      </c>
      <c r="AA176" s="104" t="s">
        <v>448</v>
      </c>
      <c r="AB176" s="105">
        <v>1227.78</v>
      </c>
      <c r="AC176" s="1"/>
      <c r="AD176" s="86">
        <f>if(Miscellaneous!E176*AWS!C$5&gt; 256, "", Miscellaneous!E176*AWS!C$5)</f>
        <v>175</v>
      </c>
      <c r="AE176" s="110"/>
      <c r="AF176" s="110"/>
      <c r="AG176" s="110"/>
    </row>
    <row r="177">
      <c r="A177" s="1"/>
      <c r="B177" s="1"/>
      <c r="C177" s="75"/>
      <c r="D177" s="1"/>
      <c r="E177" s="1"/>
      <c r="F177" s="1"/>
      <c r="G177" s="1"/>
      <c r="H177" s="1"/>
      <c r="I177" s="76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01" t="s">
        <v>492</v>
      </c>
      <c r="V177" s="91" t="s">
        <v>500</v>
      </c>
      <c r="W177" s="102">
        <v>96.0</v>
      </c>
      <c r="X177" s="102">
        <v>192.0</v>
      </c>
      <c r="Y177" s="102">
        <v>0.0</v>
      </c>
      <c r="Z177" s="103">
        <v>0.0</v>
      </c>
      <c r="AA177" s="104" t="s">
        <v>501</v>
      </c>
      <c r="AB177" s="105">
        <v>1841.67</v>
      </c>
      <c r="AC177" s="1"/>
      <c r="AD177" s="86">
        <f>if(Miscellaneous!E177*AWS!C$5&gt; 256, "", Miscellaneous!E177*AWS!C$5)</f>
        <v>176</v>
      </c>
      <c r="AE177" s="110"/>
      <c r="AF177" s="110"/>
      <c r="AG177" s="110"/>
    </row>
    <row r="178">
      <c r="A178" s="1"/>
      <c r="B178" s="1"/>
      <c r="C178" s="75"/>
      <c r="D178" s="1"/>
      <c r="E178" s="1"/>
      <c r="F178" s="1"/>
      <c r="G178" s="1"/>
      <c r="H178" s="1"/>
      <c r="I178" s="76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01" t="s">
        <v>492</v>
      </c>
      <c r="V178" s="91" t="s">
        <v>502</v>
      </c>
      <c r="W178" s="102">
        <v>192.0</v>
      </c>
      <c r="X178" s="102">
        <v>384.0</v>
      </c>
      <c r="Y178" s="102">
        <v>0.0</v>
      </c>
      <c r="Z178" s="103">
        <v>0.0</v>
      </c>
      <c r="AA178" s="104" t="s">
        <v>294</v>
      </c>
      <c r="AB178" s="105">
        <v>3683.34</v>
      </c>
      <c r="AC178" s="1"/>
      <c r="AD178" s="86">
        <f>if(Miscellaneous!E178*AWS!C$5&gt; 256, "", Miscellaneous!E178*AWS!C$5)</f>
        <v>177</v>
      </c>
      <c r="AE178" s="110"/>
      <c r="AF178" s="110"/>
      <c r="AG178" s="110"/>
    </row>
    <row r="179">
      <c r="A179" s="1"/>
      <c r="B179" s="1"/>
      <c r="C179" s="75"/>
      <c r="D179" s="1"/>
      <c r="E179" s="1"/>
      <c r="F179" s="1"/>
      <c r="G179" s="1"/>
      <c r="H179" s="1"/>
      <c r="I179" s="76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01" t="s">
        <v>503</v>
      </c>
      <c r="V179" s="91" t="s">
        <v>504</v>
      </c>
      <c r="W179" s="102">
        <v>1.0</v>
      </c>
      <c r="X179" s="102">
        <v>2.0</v>
      </c>
      <c r="Y179" s="102">
        <v>1900.0</v>
      </c>
      <c r="Z179" s="103">
        <f>0.125/4</f>
        <v>0.03125</v>
      </c>
      <c r="AA179" s="104" t="s">
        <v>300</v>
      </c>
      <c r="AB179" s="105">
        <v>23.57</v>
      </c>
      <c r="AC179" s="1"/>
      <c r="AD179" s="86">
        <f>if(Miscellaneous!E179*AWS!C$5&gt; 256, "", Miscellaneous!E179*AWS!C$5)</f>
        <v>178</v>
      </c>
      <c r="AE179" s="110"/>
      <c r="AF179" s="110"/>
      <c r="AG179" s="110"/>
    </row>
    <row r="180">
      <c r="A180" s="1"/>
      <c r="B180" s="1"/>
      <c r="C180" s="75"/>
      <c r="D180" s="1"/>
      <c r="E180" s="1"/>
      <c r="F180" s="1"/>
      <c r="G180" s="1"/>
      <c r="H180" s="1"/>
      <c r="I180" s="76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01" t="s">
        <v>503</v>
      </c>
      <c r="V180" s="91" t="s">
        <v>505</v>
      </c>
      <c r="W180" s="102">
        <v>2.0</v>
      </c>
      <c r="X180" s="102">
        <v>4.0</v>
      </c>
      <c r="Y180" s="102">
        <v>1900.0</v>
      </c>
      <c r="Z180" s="103">
        <f>0.125/2</f>
        <v>0.0625</v>
      </c>
      <c r="AA180" s="104" t="s">
        <v>300</v>
      </c>
      <c r="AB180" s="105">
        <v>47.13</v>
      </c>
      <c r="AC180" s="1"/>
      <c r="AD180" s="86">
        <f>if(Miscellaneous!E180*AWS!C$5&gt; 256, "", Miscellaneous!E180*AWS!C$5)</f>
        <v>179</v>
      </c>
      <c r="AE180" s="110"/>
      <c r="AF180" s="110"/>
      <c r="AG180" s="110"/>
    </row>
    <row r="181">
      <c r="A181" s="1"/>
      <c r="B181" s="1"/>
      <c r="C181" s="75"/>
      <c r="D181" s="1"/>
      <c r="E181" s="1"/>
      <c r="F181" s="1"/>
      <c r="G181" s="1"/>
      <c r="H181" s="1"/>
      <c r="I181" s="76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01" t="s">
        <v>503</v>
      </c>
      <c r="V181" s="91" t="s">
        <v>506</v>
      </c>
      <c r="W181" s="102">
        <v>4.0</v>
      </c>
      <c r="X181" s="102">
        <v>8.0</v>
      </c>
      <c r="Y181" s="102">
        <v>1900.0</v>
      </c>
      <c r="Z181" s="103">
        <v>0.125</v>
      </c>
      <c r="AA181" s="104" t="s">
        <v>300</v>
      </c>
      <c r="AB181" s="105">
        <v>94.27</v>
      </c>
      <c r="AC181" s="1"/>
      <c r="AD181" s="86">
        <f>if(Miscellaneous!E181*AWS!C$5&gt; 256, "", Miscellaneous!E181*AWS!C$5)</f>
        <v>180</v>
      </c>
      <c r="AE181" s="110"/>
      <c r="AF181" s="110"/>
      <c r="AG181" s="110"/>
    </row>
    <row r="182">
      <c r="A182" s="1"/>
      <c r="B182" s="1"/>
      <c r="C182" s="75"/>
      <c r="D182" s="1"/>
      <c r="E182" s="1"/>
      <c r="F182" s="1"/>
      <c r="G182" s="1"/>
      <c r="H182" s="1"/>
      <c r="I182" s="76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01" t="s">
        <v>503</v>
      </c>
      <c r="V182" s="91" t="s">
        <v>507</v>
      </c>
      <c r="W182" s="102">
        <v>8.0</v>
      </c>
      <c r="X182" s="102">
        <v>16.0</v>
      </c>
      <c r="Y182" s="102">
        <v>1900.0</v>
      </c>
      <c r="Z182" s="103">
        <v>0.25</v>
      </c>
      <c r="AA182" s="104" t="s">
        <v>441</v>
      </c>
      <c r="AB182" s="105">
        <v>188.53</v>
      </c>
      <c r="AC182" s="1"/>
      <c r="AD182" s="86">
        <f>if(Miscellaneous!E182*AWS!C$5&gt; 256, "", Miscellaneous!E182*AWS!C$5)</f>
        <v>181</v>
      </c>
      <c r="AE182" s="110"/>
      <c r="AF182" s="110"/>
      <c r="AG182" s="110"/>
    </row>
    <row r="183">
      <c r="A183" s="1"/>
      <c r="B183" s="1"/>
      <c r="C183" s="75"/>
      <c r="D183" s="1"/>
      <c r="E183" s="1"/>
      <c r="F183" s="1"/>
      <c r="G183" s="1"/>
      <c r="H183" s="1"/>
      <c r="I183" s="76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01" t="s">
        <v>508</v>
      </c>
      <c r="V183" s="91" t="s">
        <v>509</v>
      </c>
      <c r="W183" s="102">
        <v>16.0</v>
      </c>
      <c r="X183" s="102">
        <v>32.0</v>
      </c>
      <c r="Y183" s="102">
        <v>1900.0</v>
      </c>
      <c r="Z183" s="103">
        <v>0.5</v>
      </c>
      <c r="AA183" s="104" t="s">
        <v>441</v>
      </c>
      <c r="AB183" s="105">
        <v>377.06</v>
      </c>
      <c r="AC183" s="1"/>
      <c r="AD183" s="86">
        <f>if(Miscellaneous!E183*AWS!C$5&gt; 256, "", Miscellaneous!E183*AWS!C$5)</f>
        <v>182</v>
      </c>
      <c r="AE183" s="1"/>
      <c r="AF183" s="1"/>
      <c r="AG183" s="1"/>
    </row>
    <row r="184">
      <c r="A184" s="1"/>
      <c r="B184" s="1"/>
      <c r="C184" s="75"/>
      <c r="D184" s="1"/>
      <c r="E184" s="1"/>
      <c r="F184" s="1"/>
      <c r="G184" s="1"/>
      <c r="H184" s="1"/>
      <c r="I184" s="76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01" t="s">
        <v>503</v>
      </c>
      <c r="V184" s="91" t="s">
        <v>510</v>
      </c>
      <c r="W184" s="102">
        <v>32.0</v>
      </c>
      <c r="X184" s="102">
        <v>64.0</v>
      </c>
      <c r="Y184" s="102">
        <v>1900.0</v>
      </c>
      <c r="Z184" s="103">
        <v>1.0</v>
      </c>
      <c r="AA184" s="104" t="s">
        <v>444</v>
      </c>
      <c r="AB184" s="105">
        <v>754.12</v>
      </c>
      <c r="AC184" s="1"/>
      <c r="AD184" s="86">
        <f>if(Miscellaneous!E184*AWS!C$5&gt; 256, "", Miscellaneous!E184*AWS!C$5)</f>
        <v>183</v>
      </c>
      <c r="AE184" s="1"/>
      <c r="AF184" s="1"/>
      <c r="AG184" s="1"/>
    </row>
    <row r="185">
      <c r="A185" s="1"/>
      <c r="B185" s="1"/>
      <c r="C185" s="75"/>
      <c r="D185" s="1"/>
      <c r="E185" s="1"/>
      <c r="F185" s="1"/>
      <c r="G185" s="1"/>
      <c r="H185" s="1"/>
      <c r="I185" s="76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01" t="s">
        <v>503</v>
      </c>
      <c r="V185" s="91" t="s">
        <v>511</v>
      </c>
      <c r="W185" s="102">
        <v>48.0</v>
      </c>
      <c r="X185" s="102">
        <v>96.0</v>
      </c>
      <c r="Y185" s="102">
        <v>1900.0</v>
      </c>
      <c r="Z185" s="103">
        <v>1.5</v>
      </c>
      <c r="AA185" s="104" t="s">
        <v>446</v>
      </c>
      <c r="AB185" s="105">
        <v>1131.19</v>
      </c>
      <c r="AC185" s="1"/>
      <c r="AD185" s="86">
        <f>if(Miscellaneous!E185*AWS!C$5&gt; 256, "", Miscellaneous!E185*AWS!C$5)</f>
        <v>184</v>
      </c>
      <c r="AE185" s="1"/>
      <c r="AF185" s="1"/>
      <c r="AG185" s="1"/>
    </row>
    <row r="186">
      <c r="A186" s="1"/>
      <c r="B186" s="1"/>
      <c r="C186" s="75"/>
      <c r="D186" s="1"/>
      <c r="E186" s="1"/>
      <c r="F186" s="1"/>
      <c r="G186" s="1"/>
      <c r="H186" s="1"/>
      <c r="I186" s="7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01" t="s">
        <v>503</v>
      </c>
      <c r="V186" s="91" t="s">
        <v>512</v>
      </c>
      <c r="W186" s="102">
        <v>64.0</v>
      </c>
      <c r="X186" s="102">
        <v>128.0</v>
      </c>
      <c r="Y186" s="102">
        <v>1900.0</v>
      </c>
      <c r="Z186" s="103">
        <v>2.0</v>
      </c>
      <c r="AA186" s="104" t="s">
        <v>448</v>
      </c>
      <c r="AB186" s="105">
        <v>1508.25</v>
      </c>
      <c r="AC186" s="1"/>
      <c r="AD186" s="86">
        <f>if(Miscellaneous!E186*AWS!C$5&gt; 256, "", Miscellaneous!E186*AWS!C$5)</f>
        <v>185</v>
      </c>
      <c r="AE186" s="1"/>
      <c r="AF186" s="1"/>
      <c r="AG186" s="1"/>
    </row>
    <row r="187">
      <c r="A187" s="1"/>
      <c r="B187" s="1"/>
      <c r="C187" s="75"/>
      <c r="D187" s="1"/>
      <c r="E187" s="1"/>
      <c r="F187" s="1"/>
      <c r="G187" s="1"/>
      <c r="H187" s="1"/>
      <c r="I187" s="7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01" t="s">
        <v>503</v>
      </c>
      <c r="V187" s="91" t="s">
        <v>513</v>
      </c>
      <c r="W187" s="102">
        <v>96.0</v>
      </c>
      <c r="X187" s="102">
        <v>192.0</v>
      </c>
      <c r="Y187" s="102">
        <v>1900.0</v>
      </c>
      <c r="Z187" s="103">
        <v>3.0</v>
      </c>
      <c r="AA187" s="104" t="s">
        <v>501</v>
      </c>
      <c r="AB187" s="105">
        <v>2262.37</v>
      </c>
      <c r="AC187" s="1"/>
      <c r="AD187" s="86">
        <f>if(Miscellaneous!E187*AWS!C$5&gt; 256, "", Miscellaneous!E187*AWS!C$5)</f>
        <v>186</v>
      </c>
      <c r="AE187" s="1"/>
      <c r="AF187" s="1"/>
      <c r="AG187" s="1"/>
    </row>
    <row r="188">
      <c r="A188" s="1"/>
      <c r="B188" s="1"/>
      <c r="C188" s="75"/>
      <c r="D188" s="1"/>
      <c r="E188" s="1"/>
      <c r="F188" s="1"/>
      <c r="G188" s="1"/>
      <c r="H188" s="1"/>
      <c r="I188" s="76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01" t="s">
        <v>503</v>
      </c>
      <c r="V188" s="91" t="s">
        <v>514</v>
      </c>
      <c r="W188" s="102">
        <v>192.0</v>
      </c>
      <c r="X188" s="102">
        <v>384.0</v>
      </c>
      <c r="Y188" s="102">
        <v>1900.0</v>
      </c>
      <c r="Z188" s="103">
        <v>6.0</v>
      </c>
      <c r="AA188" s="104" t="s">
        <v>294</v>
      </c>
      <c r="AB188" s="105">
        <v>4524.74</v>
      </c>
      <c r="AC188" s="1"/>
      <c r="AD188" s="86">
        <f>if(Miscellaneous!E188*AWS!C$5&gt; 256, "", Miscellaneous!E188*AWS!C$5)</f>
        <v>187</v>
      </c>
      <c r="AE188" s="1"/>
      <c r="AF188" s="1"/>
      <c r="AG188" s="1"/>
    </row>
    <row r="189">
      <c r="A189" s="1"/>
      <c r="B189" s="1"/>
      <c r="C189" s="75"/>
      <c r="D189" s="1"/>
      <c r="E189" s="1"/>
      <c r="F189" s="1"/>
      <c r="G189" s="1"/>
      <c r="H189" s="1"/>
      <c r="I189" s="76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01" t="s">
        <v>515</v>
      </c>
      <c r="V189" s="91" t="s">
        <v>516</v>
      </c>
      <c r="W189" s="142">
        <v>4.0</v>
      </c>
      <c r="X189" s="142">
        <v>16.0</v>
      </c>
      <c r="Y189" s="142">
        <v>1200.0</v>
      </c>
      <c r="Z189" s="103">
        <v>0.125</v>
      </c>
      <c r="AA189" s="142" t="s">
        <v>105</v>
      </c>
      <c r="AB189" s="105">
        <v>174.08</v>
      </c>
      <c r="AC189" s="1"/>
      <c r="AD189" s="86">
        <f>if(Miscellaneous!E189*AWS!C$5&gt; 256, "", Miscellaneous!E189*AWS!C$5)</f>
        <v>188</v>
      </c>
      <c r="AE189" s="1"/>
      <c r="AF189" s="1"/>
      <c r="AG189" s="1"/>
    </row>
    <row r="190">
      <c r="A190" s="1"/>
      <c r="B190" s="1"/>
      <c r="C190" s="75"/>
      <c r="D190" s="1"/>
      <c r="E190" s="1"/>
      <c r="F190" s="1"/>
      <c r="G190" s="1"/>
      <c r="H190" s="1"/>
      <c r="I190" s="76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01" t="s">
        <v>515</v>
      </c>
      <c r="V190" s="91" t="s">
        <v>517</v>
      </c>
      <c r="W190" s="142">
        <v>8.0</v>
      </c>
      <c r="X190" s="142">
        <v>32.0</v>
      </c>
      <c r="Y190" s="142">
        <v>1200.0</v>
      </c>
      <c r="Z190" s="103">
        <v>0.25</v>
      </c>
      <c r="AA190" s="142" t="s">
        <v>105</v>
      </c>
      <c r="AB190" s="105">
        <v>248.89</v>
      </c>
      <c r="AC190" s="1"/>
      <c r="AD190" s="86">
        <f>if(Miscellaneous!E190*AWS!C$5&gt; 256, "", Miscellaneous!E190*AWS!C$5)</f>
        <v>189</v>
      </c>
      <c r="AE190" s="1"/>
      <c r="AF190" s="1"/>
      <c r="AG190" s="1"/>
    </row>
    <row r="191">
      <c r="A191" s="1"/>
      <c r="B191" s="1"/>
      <c r="C191" s="75"/>
      <c r="D191" s="1"/>
      <c r="E191" s="1"/>
      <c r="F191" s="1"/>
      <c r="G191" s="1"/>
      <c r="H191" s="1"/>
      <c r="I191" s="76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01" t="s">
        <v>518</v>
      </c>
      <c r="V191" s="91" t="s">
        <v>519</v>
      </c>
      <c r="W191" s="142">
        <v>16.0</v>
      </c>
      <c r="X191" s="142">
        <v>64.0</v>
      </c>
      <c r="Y191" s="142">
        <v>1200.0</v>
      </c>
      <c r="Z191" s="103">
        <v>0.5</v>
      </c>
      <c r="AA191" s="142" t="s">
        <v>105</v>
      </c>
      <c r="AB191" s="105">
        <v>398.73</v>
      </c>
      <c r="AC191" s="1"/>
      <c r="AD191" s="86">
        <f>if(Miscellaneous!E191*AWS!C$5&gt; 256, "", Miscellaneous!E191*AWS!C$5)</f>
        <v>190</v>
      </c>
      <c r="AE191" s="1"/>
      <c r="AF191" s="1"/>
      <c r="AG191" s="1"/>
    </row>
    <row r="192">
      <c r="A192" s="1"/>
      <c r="B192" s="1"/>
      <c r="C192" s="75"/>
      <c r="D192" s="1"/>
      <c r="E192" s="1"/>
      <c r="F192" s="1"/>
      <c r="G192" s="1"/>
      <c r="H192" s="1"/>
      <c r="I192" s="76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01" t="s">
        <v>515</v>
      </c>
      <c r="V192" s="91" t="s">
        <v>520</v>
      </c>
      <c r="W192" s="142">
        <v>32.0</v>
      </c>
      <c r="X192" s="142">
        <v>128.0</v>
      </c>
      <c r="Y192" s="142">
        <v>1200.0</v>
      </c>
      <c r="Z192" s="103">
        <v>1.0</v>
      </c>
      <c r="AA192" s="142" t="s">
        <v>444</v>
      </c>
      <c r="AB192" s="105">
        <v>797.47</v>
      </c>
      <c r="AC192" s="1"/>
      <c r="AD192" s="86">
        <f>if(Miscellaneous!E192*AWS!C$5&gt; 256, "", Miscellaneous!E192*AWS!C$5)</f>
        <v>191</v>
      </c>
      <c r="AE192" s="1"/>
      <c r="AF192" s="1"/>
      <c r="AG192" s="1"/>
    </row>
    <row r="193">
      <c r="A193" s="1"/>
      <c r="B193" s="1"/>
      <c r="C193" s="75"/>
      <c r="D193" s="1"/>
      <c r="E193" s="1"/>
      <c r="F193" s="1"/>
      <c r="G193" s="1"/>
      <c r="H193" s="1"/>
      <c r="I193" s="76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01" t="s">
        <v>515</v>
      </c>
      <c r="V193" s="91" t="s">
        <v>521</v>
      </c>
      <c r="W193" s="142">
        <v>64.0</v>
      </c>
      <c r="X193" s="142">
        <v>256.0</v>
      </c>
      <c r="Y193" s="142">
        <v>1200.0</v>
      </c>
      <c r="Z193" s="103">
        <v>2.0</v>
      </c>
      <c r="AA193" s="142" t="s">
        <v>208</v>
      </c>
      <c r="AB193" s="105">
        <v>1594.93</v>
      </c>
      <c r="AC193" s="1"/>
      <c r="AD193" s="86">
        <f>if(Miscellaneous!E193*AWS!C$5&gt; 256, "", Miscellaneous!E193*AWS!C$5)</f>
        <v>192</v>
      </c>
      <c r="AE193" s="1"/>
      <c r="AF193" s="1"/>
      <c r="AG193" s="1"/>
    </row>
    <row r="194">
      <c r="A194" s="1"/>
      <c r="B194" s="1"/>
      <c r="C194" s="75"/>
      <c r="D194" s="1"/>
      <c r="E194" s="1"/>
      <c r="F194" s="1"/>
      <c r="G194" s="1"/>
      <c r="H194" s="1"/>
      <c r="I194" s="76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01" t="s">
        <v>522</v>
      </c>
      <c r="V194" s="91" t="s">
        <v>523</v>
      </c>
      <c r="W194" s="142">
        <v>4.0</v>
      </c>
      <c r="X194" s="142">
        <v>16.0</v>
      </c>
      <c r="Y194" s="142">
        <v>900.0</v>
      </c>
      <c r="Z194" s="103">
        <v>0.125</v>
      </c>
      <c r="AA194" s="142" t="s">
        <v>284</v>
      </c>
      <c r="AB194" s="105">
        <v>241.63</v>
      </c>
      <c r="AC194" s="1"/>
      <c r="AD194" s="86">
        <f>if(Miscellaneous!E194*AWS!C$5&gt; 256, "", Miscellaneous!E194*AWS!C$5)</f>
        <v>193</v>
      </c>
      <c r="AE194" s="1"/>
      <c r="AF194" s="1"/>
      <c r="AG194" s="1"/>
    </row>
    <row r="195">
      <c r="A195" s="1"/>
      <c r="B195" s="1"/>
      <c r="C195" s="75"/>
      <c r="D195" s="1"/>
      <c r="E195" s="1"/>
      <c r="F195" s="1"/>
      <c r="G195" s="1"/>
      <c r="H195" s="1"/>
      <c r="I195" s="76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01" t="s">
        <v>522</v>
      </c>
      <c r="V195" s="91" t="s">
        <v>524</v>
      </c>
      <c r="W195" s="142">
        <v>8.0</v>
      </c>
      <c r="X195" s="142">
        <v>32.0</v>
      </c>
      <c r="Y195" s="142">
        <v>900.0</v>
      </c>
      <c r="Z195" s="103">
        <v>0.25</v>
      </c>
      <c r="AA195" s="142" t="s">
        <v>284</v>
      </c>
      <c r="AB195" s="105">
        <v>346.02</v>
      </c>
      <c r="AC195" s="1"/>
      <c r="AD195" s="86">
        <f>if(Miscellaneous!E195*AWS!C$5&gt; 256, "", Miscellaneous!E195*AWS!C$5)</f>
        <v>194</v>
      </c>
      <c r="AE195" s="1"/>
      <c r="AF195" s="1"/>
      <c r="AG195" s="1"/>
    </row>
    <row r="196">
      <c r="A196" s="1"/>
      <c r="B196" s="1"/>
      <c r="C196" s="75"/>
      <c r="D196" s="1"/>
      <c r="E196" s="1"/>
      <c r="F196" s="1"/>
      <c r="G196" s="1"/>
      <c r="H196" s="1"/>
      <c r="I196" s="76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01" t="s">
        <v>525</v>
      </c>
      <c r="V196" s="91" t="s">
        <v>526</v>
      </c>
      <c r="W196" s="142">
        <v>16.0</v>
      </c>
      <c r="X196" s="142">
        <v>64.0</v>
      </c>
      <c r="Y196" s="142">
        <v>900.0</v>
      </c>
      <c r="Z196" s="103">
        <v>0.25</v>
      </c>
      <c r="AA196" s="142" t="s">
        <v>284</v>
      </c>
      <c r="AB196" s="105">
        <v>554.07</v>
      </c>
      <c r="AC196" s="1"/>
      <c r="AD196" s="86">
        <f>if(Miscellaneous!E196*AWS!C$5&gt; 256, "", Miscellaneous!E196*AWS!C$5)</f>
        <v>195</v>
      </c>
      <c r="AE196" s="1"/>
      <c r="AF196" s="1"/>
      <c r="AG196" s="1"/>
    </row>
    <row r="197">
      <c r="A197" s="1"/>
      <c r="B197" s="1"/>
      <c r="C197" s="75"/>
      <c r="D197" s="1"/>
      <c r="E197" s="1"/>
      <c r="F197" s="1"/>
      <c r="G197" s="1"/>
      <c r="H197" s="1"/>
      <c r="I197" s="76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01" t="s">
        <v>522</v>
      </c>
      <c r="V197" s="91" t="s">
        <v>527</v>
      </c>
      <c r="W197" s="142">
        <v>32.0</v>
      </c>
      <c r="X197" s="142">
        <v>128.0</v>
      </c>
      <c r="Y197" s="142">
        <v>900.0</v>
      </c>
      <c r="Z197" s="103">
        <v>1.0</v>
      </c>
      <c r="AA197" s="142" t="s">
        <v>294</v>
      </c>
      <c r="AB197" s="105">
        <v>1000.83</v>
      </c>
      <c r="AC197" s="1"/>
      <c r="AD197" s="86">
        <f>if(Miscellaneous!E197*AWS!C$5&gt; 256, "", Miscellaneous!E197*AWS!C$5)</f>
        <v>196</v>
      </c>
      <c r="AE197" s="1"/>
      <c r="AF197" s="1"/>
      <c r="AG197" s="1"/>
    </row>
    <row r="198">
      <c r="A198" s="1"/>
      <c r="B198" s="1"/>
      <c r="C198" s="75"/>
      <c r="D198" s="1"/>
      <c r="E198" s="1"/>
      <c r="F198" s="1"/>
      <c r="G198" s="1"/>
      <c r="H198" s="1"/>
      <c r="I198" s="76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01" t="s">
        <v>522</v>
      </c>
      <c r="V198" s="91" t="s">
        <v>528</v>
      </c>
      <c r="W198" s="142">
        <v>48.0</v>
      </c>
      <c r="X198" s="142">
        <v>192.0</v>
      </c>
      <c r="Y198" s="142">
        <v>900.0</v>
      </c>
      <c r="Z198" s="103">
        <v>1.0</v>
      </c>
      <c r="AA198" s="142" t="s">
        <v>294</v>
      </c>
      <c r="AB198" s="105">
        <v>1799.45</v>
      </c>
      <c r="AC198" s="1"/>
      <c r="AD198" s="86">
        <f>if(Miscellaneous!E198*AWS!C$5&gt; 256, "", Miscellaneous!E198*AWS!C$5)</f>
        <v>197</v>
      </c>
      <c r="AE198" s="1"/>
      <c r="AF198" s="1"/>
      <c r="AG198" s="1"/>
    </row>
    <row r="199">
      <c r="A199" s="1"/>
      <c r="B199" s="1"/>
      <c r="C199" s="75"/>
      <c r="D199" s="1"/>
      <c r="E199" s="1"/>
      <c r="F199" s="1"/>
      <c r="G199" s="1"/>
      <c r="H199" s="1"/>
      <c r="I199" s="76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01" t="s">
        <v>522</v>
      </c>
      <c r="V199" s="91" t="s">
        <v>529</v>
      </c>
      <c r="W199" s="142">
        <v>64.0</v>
      </c>
      <c r="X199" s="142">
        <v>256.0</v>
      </c>
      <c r="Y199" s="142">
        <v>900.0</v>
      </c>
      <c r="Z199" s="103">
        <v>1.0</v>
      </c>
      <c r="AA199" s="142" t="s">
        <v>294</v>
      </c>
      <c r="AB199" s="105">
        <v>2001.66</v>
      </c>
      <c r="AC199" s="1"/>
      <c r="AD199" s="86">
        <f>if(Miscellaneous!E199*AWS!C$5&gt; 256, "", Miscellaneous!E199*AWS!C$5)</f>
        <v>198</v>
      </c>
      <c r="AE199" s="1"/>
      <c r="AF199" s="1"/>
      <c r="AG199" s="1"/>
    </row>
    <row r="200">
      <c r="A200" s="1"/>
      <c r="B200" s="1"/>
      <c r="C200" s="75"/>
      <c r="D200" s="1"/>
      <c r="E200" s="1"/>
      <c r="F200" s="1"/>
      <c r="G200" s="1"/>
      <c r="H200" s="1"/>
      <c r="I200" s="76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01" t="s">
        <v>530</v>
      </c>
      <c r="V200" s="91" t="s">
        <v>531</v>
      </c>
      <c r="W200" s="142">
        <v>4.0</v>
      </c>
      <c r="X200" s="142">
        <v>16.0</v>
      </c>
      <c r="Y200" s="142">
        <v>3800.0</v>
      </c>
      <c r="Z200" s="103">
        <f>2.5/38</f>
        <v>0.06578947368</v>
      </c>
      <c r="AA200" s="142" t="s">
        <v>105</v>
      </c>
      <c r="AB200" s="105">
        <v>462.66</v>
      </c>
      <c r="AC200" s="1"/>
      <c r="AD200" s="86">
        <f>if(Miscellaneous!E200*AWS!C$5&gt; 256, "", Miscellaneous!E200*AWS!C$5)</f>
        <v>199</v>
      </c>
      <c r="AE200" s="1"/>
      <c r="AF200" s="1"/>
      <c r="AG200" s="1"/>
    </row>
    <row r="201">
      <c r="A201" s="1"/>
      <c r="B201" s="1"/>
      <c r="C201" s="75"/>
      <c r="D201" s="1"/>
      <c r="E201" s="1"/>
      <c r="F201" s="1"/>
      <c r="G201" s="1"/>
      <c r="H201" s="1"/>
      <c r="I201" s="76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01" t="s">
        <v>530</v>
      </c>
      <c r="V201" s="91" t="s">
        <v>532</v>
      </c>
      <c r="W201" s="142">
        <v>8.0</v>
      </c>
      <c r="X201" s="142">
        <v>32.0</v>
      </c>
      <c r="Y201" s="142">
        <v>3800.0</v>
      </c>
      <c r="Z201" s="103">
        <f>4.5/38</f>
        <v>0.1184210526</v>
      </c>
      <c r="AA201" s="142" t="s">
        <v>105</v>
      </c>
      <c r="AB201" s="105">
        <v>557.4</v>
      </c>
      <c r="AC201" s="1"/>
      <c r="AD201" s="86">
        <f>if(Miscellaneous!E201*AWS!C$5&gt; 256, "", Miscellaneous!E201*AWS!C$5)</f>
        <v>200</v>
      </c>
      <c r="AE201" s="1"/>
      <c r="AF201" s="1"/>
      <c r="AG201" s="1"/>
    </row>
    <row r="202">
      <c r="A202" s="1"/>
      <c r="B202" s="1"/>
      <c r="C202" s="75"/>
      <c r="D202" s="1"/>
      <c r="E202" s="1"/>
      <c r="F202" s="1"/>
      <c r="G202" s="1"/>
      <c r="H202" s="1"/>
      <c r="I202" s="76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01" t="s">
        <v>530</v>
      </c>
      <c r="V202" s="91" t="s">
        <v>533</v>
      </c>
      <c r="W202" s="142">
        <v>16.0</v>
      </c>
      <c r="X202" s="142">
        <v>64.0</v>
      </c>
      <c r="Y202" s="142">
        <v>3800.0</v>
      </c>
      <c r="Z202" s="103">
        <f>6/38</f>
        <v>0.1578947368</v>
      </c>
      <c r="AA202" s="142" t="s">
        <v>284</v>
      </c>
      <c r="AB202" s="105">
        <v>746.88</v>
      </c>
      <c r="AC202" s="1"/>
      <c r="AD202" s="86">
        <f>if(Miscellaneous!E202*AWS!C$5&gt; 256, "", Miscellaneous!E202*AWS!C$5)</f>
        <v>201</v>
      </c>
      <c r="AE202" s="1"/>
      <c r="AF202" s="1"/>
      <c r="AG202" s="1"/>
    </row>
    <row r="203">
      <c r="A203" s="1"/>
      <c r="B203" s="1"/>
      <c r="C203" s="75"/>
      <c r="D203" s="1"/>
      <c r="E203" s="1"/>
      <c r="F203" s="1"/>
      <c r="G203" s="1"/>
      <c r="H203" s="1"/>
      <c r="I203" s="76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01" t="s">
        <v>530</v>
      </c>
      <c r="V203" s="91" t="s">
        <v>534</v>
      </c>
      <c r="W203" s="142">
        <v>32.0</v>
      </c>
      <c r="X203" s="142">
        <v>128.0</v>
      </c>
      <c r="Y203" s="142">
        <v>3800.0</v>
      </c>
      <c r="Z203" s="103">
        <f>9/38</f>
        <v>0.2368421053</v>
      </c>
      <c r="AA203" s="142" t="s">
        <v>208</v>
      </c>
      <c r="AB203" s="105">
        <v>1125.84</v>
      </c>
      <c r="AC203" s="1"/>
      <c r="AD203" s="86">
        <f>if(Miscellaneous!E203*AWS!C$5&gt; 256, "", Miscellaneous!E203*AWS!C$5)</f>
        <v>202</v>
      </c>
      <c r="AE203" s="1"/>
      <c r="AF203" s="1"/>
      <c r="AG203" s="1"/>
    </row>
    <row r="204">
      <c r="A204" s="1"/>
      <c r="B204" s="1"/>
      <c r="C204" s="75"/>
      <c r="D204" s="1"/>
      <c r="E204" s="1"/>
      <c r="F204" s="1"/>
      <c r="G204" s="1"/>
      <c r="H204" s="1"/>
      <c r="I204" s="76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01" t="s">
        <v>535</v>
      </c>
      <c r="V204" s="91" t="s">
        <v>536</v>
      </c>
      <c r="W204" s="142">
        <v>48.0</v>
      </c>
      <c r="X204" s="142">
        <v>192.0</v>
      </c>
      <c r="Y204" s="142">
        <v>3800.0</v>
      </c>
      <c r="Z204" s="103">
        <v>1.0</v>
      </c>
      <c r="AA204" s="142" t="s">
        <v>501</v>
      </c>
      <c r="AB204" s="105">
        <v>2608.55</v>
      </c>
      <c r="AC204" s="1"/>
      <c r="AD204" s="86">
        <f>if(Miscellaneous!E204*AWS!C$5&gt; 256, "", Miscellaneous!E204*AWS!C$5)</f>
        <v>203</v>
      </c>
      <c r="AE204" s="1"/>
      <c r="AF204" s="1"/>
      <c r="AG204" s="1"/>
    </row>
    <row r="205">
      <c r="A205" s="1"/>
      <c r="B205" s="1"/>
      <c r="C205" s="75"/>
      <c r="D205" s="1"/>
      <c r="E205" s="1"/>
      <c r="F205" s="1"/>
      <c r="G205" s="1"/>
      <c r="H205" s="1"/>
      <c r="I205" s="76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01" t="s">
        <v>530</v>
      </c>
      <c r="V205" s="91" t="s">
        <v>537</v>
      </c>
      <c r="W205" s="142">
        <v>64.0</v>
      </c>
      <c r="X205" s="142">
        <v>256.0</v>
      </c>
      <c r="Y205" s="142">
        <v>3800.0</v>
      </c>
      <c r="Z205" s="103">
        <v>0.5</v>
      </c>
      <c r="AA205" s="142" t="s">
        <v>208</v>
      </c>
      <c r="AB205" s="105">
        <v>1883.75</v>
      </c>
      <c r="AC205" s="1"/>
      <c r="AD205" s="86">
        <f>if(Miscellaneous!E205*AWS!C$5&gt; 256, "", Miscellaneous!E205*AWS!C$5)</f>
        <v>204</v>
      </c>
      <c r="AE205" s="1"/>
      <c r="AF205" s="1"/>
      <c r="AG205" s="1"/>
    </row>
    <row r="206">
      <c r="A206" s="1"/>
      <c r="B206" s="1"/>
      <c r="C206" s="75"/>
      <c r="D206" s="1"/>
      <c r="E206" s="1"/>
      <c r="F206" s="1"/>
      <c r="G206" s="1"/>
      <c r="H206" s="1"/>
      <c r="I206" s="76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01" t="s">
        <v>530</v>
      </c>
      <c r="V206" s="91" t="s">
        <v>538</v>
      </c>
      <c r="W206" s="142">
        <v>96.0</v>
      </c>
      <c r="X206" s="142">
        <v>384.0</v>
      </c>
      <c r="Y206" s="142">
        <v>3800.0</v>
      </c>
      <c r="Z206" s="103">
        <v>1.0</v>
      </c>
      <c r="AA206" s="142" t="s">
        <v>294</v>
      </c>
      <c r="AB206" s="105">
        <v>3745.43</v>
      </c>
      <c r="AC206" s="1"/>
      <c r="AD206" s="86">
        <f>if(Miscellaneous!E206*AWS!C$5&gt; 256, "", Miscellaneous!E206*AWS!C$5)</f>
        <v>205</v>
      </c>
      <c r="AE206" s="1"/>
      <c r="AF206" s="1"/>
      <c r="AG206" s="1"/>
    </row>
    <row r="207">
      <c r="A207" s="1"/>
      <c r="B207" s="1"/>
      <c r="C207" s="75"/>
      <c r="D207" s="1"/>
      <c r="E207" s="1"/>
      <c r="F207" s="1"/>
      <c r="G207" s="1"/>
      <c r="H207" s="1"/>
      <c r="I207" s="76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01" t="s">
        <v>530</v>
      </c>
      <c r="V207" s="91" t="s">
        <v>539</v>
      </c>
      <c r="W207" s="142">
        <v>192.0</v>
      </c>
      <c r="X207" s="142">
        <v>768.0</v>
      </c>
      <c r="Y207" s="142">
        <v>3800.0</v>
      </c>
      <c r="Z207" s="103">
        <v>2.0</v>
      </c>
      <c r="AA207" s="142" t="s">
        <v>296</v>
      </c>
      <c r="AB207" s="105">
        <v>7490.85</v>
      </c>
      <c r="AC207" s="1"/>
      <c r="AD207" s="86">
        <f>if(Miscellaneous!E207*AWS!C$5&gt; 256, "", Miscellaneous!E207*AWS!C$5)</f>
        <v>206</v>
      </c>
      <c r="AE207" s="1"/>
      <c r="AF207" s="1"/>
      <c r="AG207" s="1"/>
    </row>
    <row r="208">
      <c r="A208" s="1"/>
      <c r="B208" s="1"/>
      <c r="C208" s="75"/>
      <c r="D208" s="1"/>
      <c r="E208" s="1"/>
      <c r="F208" s="1"/>
      <c r="G208" s="1"/>
      <c r="H208" s="1"/>
      <c r="I208" s="76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01" t="s">
        <v>540</v>
      </c>
      <c r="V208" s="91" t="s">
        <v>541</v>
      </c>
      <c r="W208" s="142">
        <v>4.0</v>
      </c>
      <c r="X208" s="142">
        <v>8.0</v>
      </c>
      <c r="Y208" s="142">
        <v>0.0</v>
      </c>
      <c r="Z208" s="103">
        <v>0.0</v>
      </c>
      <c r="AA208" s="142" t="s">
        <v>105</v>
      </c>
      <c r="AB208" s="105">
        <v>193.16</v>
      </c>
      <c r="AC208" s="1"/>
      <c r="AD208" s="86">
        <f>if(Miscellaneous!E208*AWS!C$5&gt; 256, "", Miscellaneous!E208*AWS!C$5)</f>
        <v>207</v>
      </c>
      <c r="AE208" s="1"/>
      <c r="AF208" s="1"/>
      <c r="AG208" s="1"/>
    </row>
    <row r="209">
      <c r="A209" s="1"/>
      <c r="B209" s="1"/>
      <c r="C209" s="75"/>
      <c r="D209" s="1"/>
      <c r="E209" s="1"/>
      <c r="F209" s="1"/>
      <c r="G209" s="1"/>
      <c r="H209" s="1"/>
      <c r="I209" s="76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01" t="s">
        <v>542</v>
      </c>
      <c r="V209" s="91" t="s">
        <v>543</v>
      </c>
      <c r="W209" s="142">
        <v>8.0</v>
      </c>
      <c r="X209" s="142">
        <v>16.0</v>
      </c>
      <c r="Y209" s="142">
        <v>0.0</v>
      </c>
      <c r="Z209" s="103">
        <v>0.0</v>
      </c>
      <c r="AA209" s="142" t="s">
        <v>105</v>
      </c>
      <c r="AB209" s="105">
        <v>255.72</v>
      </c>
      <c r="AC209" s="1"/>
      <c r="AD209" s="86">
        <f>if(Miscellaneous!E209*AWS!C$5&gt; 256, "", Miscellaneous!E209*AWS!C$5)</f>
        <v>208</v>
      </c>
      <c r="AE209" s="1"/>
      <c r="AF209" s="1"/>
      <c r="AG209" s="1"/>
    </row>
    <row r="210">
      <c r="A210" s="1"/>
      <c r="B210" s="1"/>
      <c r="C210" s="75"/>
      <c r="D210" s="1"/>
      <c r="E210" s="1"/>
      <c r="F210" s="1"/>
      <c r="G210" s="1"/>
      <c r="H210" s="1"/>
      <c r="I210" s="76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01" t="s">
        <v>542</v>
      </c>
      <c r="V210" s="91" t="s">
        <v>544</v>
      </c>
      <c r="W210" s="142">
        <v>16.0</v>
      </c>
      <c r="X210" s="142">
        <v>32.0</v>
      </c>
      <c r="Y210" s="142">
        <v>0.0</v>
      </c>
      <c r="Z210" s="103">
        <v>0.0</v>
      </c>
      <c r="AA210" s="142" t="s">
        <v>105</v>
      </c>
      <c r="AB210" s="105">
        <v>380.77</v>
      </c>
      <c r="AC210" s="1"/>
      <c r="AD210" s="86">
        <f>if(Miscellaneous!E210*AWS!C$5&gt; 256, "", Miscellaneous!E210*AWS!C$5)</f>
        <v>209</v>
      </c>
      <c r="AE210" s="1"/>
      <c r="AF210" s="1"/>
      <c r="AG210" s="1"/>
    </row>
    <row r="211">
      <c r="A211" s="1"/>
      <c r="B211" s="1"/>
      <c r="C211" s="75"/>
      <c r="D211" s="1"/>
      <c r="E211" s="1"/>
      <c r="F211" s="1"/>
      <c r="G211" s="1"/>
      <c r="H211" s="1"/>
      <c r="I211" s="76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01" t="s">
        <v>542</v>
      </c>
      <c r="V211" s="91" t="s">
        <v>545</v>
      </c>
      <c r="W211" s="142">
        <v>32.0</v>
      </c>
      <c r="X211" s="142">
        <v>64.0</v>
      </c>
      <c r="Y211" s="142">
        <v>0.0</v>
      </c>
      <c r="Z211" s="103">
        <v>0.0</v>
      </c>
      <c r="AA211" s="142" t="s">
        <v>198</v>
      </c>
      <c r="AB211" s="105">
        <v>631.01</v>
      </c>
      <c r="AC211" s="1"/>
      <c r="AD211" s="86">
        <f>if(Miscellaneous!E211*AWS!C$5&gt; 256, "", Miscellaneous!E211*AWS!C$5)</f>
        <v>210</v>
      </c>
      <c r="AE211" s="1"/>
      <c r="AF211" s="1"/>
      <c r="AG211" s="1"/>
    </row>
    <row r="212">
      <c r="A212" s="1"/>
      <c r="B212" s="1"/>
      <c r="C212" s="75"/>
      <c r="D212" s="1"/>
      <c r="E212" s="1"/>
      <c r="F212" s="1"/>
      <c r="G212" s="1"/>
      <c r="H212" s="1"/>
      <c r="I212" s="76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01" t="s">
        <v>542</v>
      </c>
      <c r="V212" s="91" t="s">
        <v>546</v>
      </c>
      <c r="W212" s="142">
        <v>64.0</v>
      </c>
      <c r="X212" s="142">
        <v>128.0</v>
      </c>
      <c r="Y212" s="142">
        <v>0.0</v>
      </c>
      <c r="Z212" s="103">
        <v>0.0</v>
      </c>
      <c r="AA212" s="142" t="s">
        <v>208</v>
      </c>
      <c r="AB212" s="105">
        <v>1261.95</v>
      </c>
      <c r="AC212" s="1"/>
      <c r="AD212" s="86">
        <f>if(Miscellaneous!E212*AWS!C$5&gt; 256, "", Miscellaneous!E212*AWS!C$5)</f>
        <v>211</v>
      </c>
      <c r="AE212" s="1"/>
      <c r="AF212" s="1"/>
      <c r="AG212" s="1"/>
    </row>
    <row r="213">
      <c r="A213" s="1"/>
      <c r="B213" s="1"/>
      <c r="C213" s="75"/>
      <c r="D213" s="1"/>
      <c r="E213" s="1"/>
      <c r="F213" s="1"/>
      <c r="G213" s="1"/>
      <c r="H213" s="1"/>
      <c r="I213" s="76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01" t="s">
        <v>547</v>
      </c>
      <c r="V213" s="91" t="s">
        <v>548</v>
      </c>
      <c r="W213" s="142">
        <v>4.0</v>
      </c>
      <c r="X213" s="142">
        <v>16.0</v>
      </c>
      <c r="Y213" s="142">
        <v>940.0</v>
      </c>
      <c r="Z213" s="103">
        <f>25/94</f>
        <v>0.2659574468</v>
      </c>
      <c r="AA213" s="142" t="s">
        <v>105</v>
      </c>
      <c r="AB213" s="105">
        <v>382.46</v>
      </c>
      <c r="AC213" s="1"/>
      <c r="AD213" s="86">
        <f>if(Miscellaneous!E213*AWS!C$5&gt; 256, "", Miscellaneous!E213*AWS!C$5)</f>
        <v>212</v>
      </c>
      <c r="AE213" s="1"/>
      <c r="AF213" s="1"/>
      <c r="AG213" s="1"/>
    </row>
    <row r="214">
      <c r="A214" s="1"/>
      <c r="B214" s="1"/>
      <c r="C214" s="75"/>
      <c r="D214" s="1"/>
      <c r="E214" s="1"/>
      <c r="F214" s="1"/>
      <c r="G214" s="1"/>
      <c r="H214" s="1"/>
      <c r="I214" s="76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01" t="s">
        <v>547</v>
      </c>
      <c r="V214" s="91" t="s">
        <v>549</v>
      </c>
      <c r="W214" s="142">
        <v>8.0</v>
      </c>
      <c r="X214" s="142">
        <v>32.0</v>
      </c>
      <c r="Y214" s="142">
        <v>940.0</v>
      </c>
      <c r="Z214" s="103">
        <f>450/940</f>
        <v>0.4787234043</v>
      </c>
      <c r="AA214" s="142" t="s">
        <v>105</v>
      </c>
      <c r="AB214" s="105">
        <v>464.59</v>
      </c>
      <c r="AC214" s="1"/>
      <c r="AD214" s="86">
        <f>if(Miscellaneous!E214*AWS!C$5&gt; 256, "", Miscellaneous!E214*AWS!C$5)</f>
        <v>213</v>
      </c>
      <c r="AE214" s="1"/>
      <c r="AF214" s="1"/>
      <c r="AG214" s="1"/>
    </row>
    <row r="215">
      <c r="A215" s="1"/>
      <c r="B215" s="1"/>
      <c r="C215" s="75"/>
      <c r="D215" s="1"/>
      <c r="E215" s="1"/>
      <c r="F215" s="1"/>
      <c r="G215" s="1"/>
      <c r="H215" s="1"/>
      <c r="I215" s="7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01" t="s">
        <v>547</v>
      </c>
      <c r="V215" s="91" t="s">
        <v>550</v>
      </c>
      <c r="W215" s="142">
        <v>16.0</v>
      </c>
      <c r="X215" s="142">
        <v>64.0</v>
      </c>
      <c r="Y215" s="142">
        <v>940.0</v>
      </c>
      <c r="Z215" s="103">
        <f>60/94</f>
        <v>0.6382978723</v>
      </c>
      <c r="AA215" s="142" t="s">
        <v>284</v>
      </c>
      <c r="AB215" s="105">
        <v>628.82</v>
      </c>
      <c r="AC215" s="1"/>
      <c r="AD215" s="86">
        <f>if(Miscellaneous!E215*AWS!C$5&gt; 256, "", Miscellaneous!E215*AWS!C$5)</f>
        <v>214</v>
      </c>
      <c r="AE215" s="1"/>
      <c r="AF215" s="1"/>
      <c r="AG215" s="1"/>
    </row>
    <row r="216">
      <c r="A216" s="1"/>
      <c r="B216" s="1"/>
      <c r="C216" s="75"/>
      <c r="D216" s="1"/>
      <c r="E216" s="1"/>
      <c r="F216" s="1"/>
      <c r="G216" s="1"/>
      <c r="H216" s="1"/>
      <c r="I216" s="76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01" t="s">
        <v>551</v>
      </c>
      <c r="V216" s="91" t="s">
        <v>552</v>
      </c>
      <c r="W216" s="142">
        <v>32.0</v>
      </c>
      <c r="X216" s="142">
        <v>128.0</v>
      </c>
      <c r="Y216" s="142">
        <v>940.0</v>
      </c>
      <c r="Z216" s="103">
        <v>1.0</v>
      </c>
      <c r="AA216" s="142" t="s">
        <v>208</v>
      </c>
      <c r="AB216" s="105">
        <v>957.3</v>
      </c>
      <c r="AC216" s="1"/>
      <c r="AD216" s="86">
        <f>if(Miscellaneous!E216*AWS!C$5&gt; 256, "", Miscellaneous!E216*AWS!C$5)</f>
        <v>215</v>
      </c>
      <c r="AE216" s="1"/>
      <c r="AF216" s="1"/>
      <c r="AG216" s="1"/>
    </row>
    <row r="217">
      <c r="A217" s="1"/>
      <c r="B217" s="1"/>
      <c r="C217" s="75"/>
      <c r="D217" s="1"/>
      <c r="E217" s="1"/>
      <c r="F217" s="1"/>
      <c r="G217" s="1"/>
      <c r="H217" s="1"/>
      <c r="I217" s="76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01" t="s">
        <v>547</v>
      </c>
      <c r="V217" s="91" t="s">
        <v>553</v>
      </c>
      <c r="W217" s="142">
        <v>48.0</v>
      </c>
      <c r="X217" s="142">
        <v>192.0</v>
      </c>
      <c r="Y217" s="142">
        <v>940.0</v>
      </c>
      <c r="Z217" s="103">
        <v>4.0</v>
      </c>
      <c r="AA217" s="142" t="s">
        <v>501</v>
      </c>
      <c r="AB217" s="105">
        <v>2186.82</v>
      </c>
      <c r="AC217" s="1"/>
      <c r="AD217" s="86">
        <f>if(Miscellaneous!E217*AWS!C$5&gt; 256, "", Miscellaneous!E217*AWS!C$5)</f>
        <v>216</v>
      </c>
      <c r="AE217" s="1"/>
      <c r="AF217" s="1"/>
      <c r="AG217" s="1"/>
    </row>
    <row r="218">
      <c r="A218" s="1"/>
      <c r="B218" s="1"/>
      <c r="C218" s="75"/>
      <c r="D218" s="1"/>
      <c r="E218" s="1"/>
      <c r="F218" s="1"/>
      <c r="G218" s="1"/>
      <c r="H218" s="1"/>
      <c r="I218" s="76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01" t="s">
        <v>547</v>
      </c>
      <c r="V218" s="91" t="s">
        <v>554</v>
      </c>
      <c r="W218" s="142">
        <v>64.0</v>
      </c>
      <c r="X218" s="142">
        <v>256.0</v>
      </c>
      <c r="Y218" s="142">
        <v>940.0</v>
      </c>
      <c r="Z218" s="103">
        <v>2.0</v>
      </c>
      <c r="AA218" s="142" t="s">
        <v>208</v>
      </c>
      <c r="AB218" s="105">
        <v>1614.26</v>
      </c>
      <c r="AC218" s="1"/>
      <c r="AD218" s="86">
        <f>if(Miscellaneous!E218*AWS!C$5&gt; 256, "", Miscellaneous!E218*AWS!C$5)</f>
        <v>217</v>
      </c>
      <c r="AE218" s="1"/>
      <c r="AF218" s="1"/>
      <c r="AG218" s="1"/>
    </row>
    <row r="219">
      <c r="A219" s="1"/>
      <c r="B219" s="1"/>
      <c r="C219" s="75"/>
      <c r="D219" s="1"/>
      <c r="E219" s="1"/>
      <c r="F219" s="1"/>
      <c r="G219" s="1"/>
      <c r="H219" s="1"/>
      <c r="I219" s="76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01" t="s">
        <v>547</v>
      </c>
      <c r="V219" s="91" t="s">
        <v>555</v>
      </c>
      <c r="W219" s="142">
        <v>96.0</v>
      </c>
      <c r="X219" s="142">
        <v>384.0</v>
      </c>
      <c r="Y219" s="142">
        <v>940.0</v>
      </c>
      <c r="Z219" s="103">
        <v>4.0</v>
      </c>
      <c r="AA219" s="142" t="s">
        <v>294</v>
      </c>
      <c r="AB219" s="105">
        <v>3172.26</v>
      </c>
      <c r="AC219" s="1"/>
      <c r="AD219" s="86">
        <f>if(Miscellaneous!E219*AWS!C$5&gt; 256, "", Miscellaneous!E219*AWS!C$5)</f>
        <v>218</v>
      </c>
      <c r="AE219" s="1"/>
      <c r="AF219" s="1"/>
      <c r="AG219" s="1"/>
    </row>
    <row r="220">
      <c r="A220" s="1"/>
      <c r="B220" s="1"/>
      <c r="C220" s="75"/>
      <c r="D220" s="1"/>
      <c r="E220" s="1"/>
      <c r="F220" s="1"/>
      <c r="G220" s="1"/>
      <c r="H220" s="1"/>
      <c r="I220" s="76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01" t="s">
        <v>547</v>
      </c>
      <c r="V220" s="91" t="s">
        <v>556</v>
      </c>
      <c r="W220" s="142">
        <v>192.0</v>
      </c>
      <c r="X220" s="142">
        <v>768.0</v>
      </c>
      <c r="Y220" s="142">
        <v>940.0</v>
      </c>
      <c r="Z220" s="103">
        <v>8.0</v>
      </c>
      <c r="AA220" s="142" t="s">
        <v>296</v>
      </c>
      <c r="AB220" s="105">
        <v>6344.51</v>
      </c>
      <c r="AC220" s="1"/>
      <c r="AD220" s="86">
        <f>if(Miscellaneous!E220*AWS!C$5&gt; 256, "", Miscellaneous!E220*AWS!C$5)</f>
        <v>219</v>
      </c>
      <c r="AE220" s="1"/>
      <c r="AF220" s="1"/>
      <c r="AG220" s="1"/>
    </row>
    <row r="221">
      <c r="A221" s="1"/>
      <c r="B221" s="1"/>
      <c r="C221" s="75"/>
      <c r="D221" s="1"/>
      <c r="E221" s="1"/>
      <c r="F221" s="1"/>
      <c r="G221" s="1"/>
      <c r="H221" s="1"/>
      <c r="I221" s="76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01" t="s">
        <v>557</v>
      </c>
      <c r="V221" s="91" t="s">
        <v>558</v>
      </c>
      <c r="W221" s="142">
        <v>4.0</v>
      </c>
      <c r="X221" s="142">
        <v>32.0</v>
      </c>
      <c r="Y221" s="142">
        <v>1900.0</v>
      </c>
      <c r="Z221" s="103">
        <f>25/190</f>
        <v>0.1315789474</v>
      </c>
      <c r="AA221" s="142" t="s">
        <v>559</v>
      </c>
      <c r="AB221" s="105">
        <v>855.87</v>
      </c>
      <c r="AC221" s="1"/>
      <c r="AD221" s="86">
        <f>if(Miscellaneous!E221*AWS!C$5&gt; 256, "", Miscellaneous!E221*AWS!C$5)</f>
        <v>220</v>
      </c>
      <c r="AE221" s="1"/>
      <c r="AF221" s="1"/>
      <c r="AG221" s="1"/>
    </row>
    <row r="222">
      <c r="A222" s="1"/>
      <c r="B222" s="1"/>
      <c r="C222" s="75"/>
      <c r="D222" s="1"/>
      <c r="E222" s="1"/>
      <c r="F222" s="1"/>
      <c r="G222" s="1"/>
      <c r="H222" s="1"/>
      <c r="I222" s="76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01" t="s">
        <v>557</v>
      </c>
      <c r="V222" s="91" t="s">
        <v>560</v>
      </c>
      <c r="W222" s="142">
        <v>8.0</v>
      </c>
      <c r="X222" s="142">
        <v>64.0</v>
      </c>
      <c r="Y222" s="142">
        <v>1900.0</v>
      </c>
      <c r="Z222" s="103">
        <f>45/190</f>
        <v>0.2368421053</v>
      </c>
      <c r="AA222" s="142" t="s">
        <v>559</v>
      </c>
      <c r="AB222" s="105">
        <v>1031.13</v>
      </c>
      <c r="AC222" s="1"/>
      <c r="AD222" s="86">
        <f>if(Miscellaneous!E222*AWS!C$5&gt; 256, "", Miscellaneous!E222*AWS!C$5)</f>
        <v>221</v>
      </c>
      <c r="AE222" s="1"/>
      <c r="AF222" s="1"/>
      <c r="AG222" s="1"/>
    </row>
    <row r="223">
      <c r="A223" s="1"/>
      <c r="B223" s="1"/>
      <c r="C223" s="75"/>
      <c r="D223" s="1"/>
      <c r="E223" s="1"/>
      <c r="F223" s="1"/>
      <c r="G223" s="1"/>
      <c r="H223" s="1"/>
      <c r="I223" s="76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01" t="s">
        <v>557</v>
      </c>
      <c r="V223" s="91" t="s">
        <v>561</v>
      </c>
      <c r="W223" s="142">
        <v>16.0</v>
      </c>
      <c r="X223" s="142">
        <v>128.0</v>
      </c>
      <c r="Y223" s="142">
        <v>1900.0</v>
      </c>
      <c r="Z223" s="103">
        <f>6/19</f>
        <v>0.3157894737</v>
      </c>
      <c r="AA223" s="142" t="s">
        <v>236</v>
      </c>
      <c r="AB223" s="105">
        <v>1381.65</v>
      </c>
      <c r="AC223" s="1"/>
      <c r="AD223" s="86">
        <f>if(Miscellaneous!E223*AWS!C$5&gt; 256, "", Miscellaneous!E223*AWS!C$5)</f>
        <v>222</v>
      </c>
      <c r="AE223" s="1"/>
      <c r="AF223" s="1"/>
      <c r="AG223" s="1"/>
    </row>
    <row r="224">
      <c r="A224" s="1"/>
      <c r="B224" s="1"/>
      <c r="C224" s="75"/>
      <c r="D224" s="1"/>
      <c r="E224" s="1"/>
      <c r="F224" s="1"/>
      <c r="G224" s="1"/>
      <c r="H224" s="1"/>
      <c r="I224" s="7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01" t="s">
        <v>562</v>
      </c>
      <c r="V224" s="91" t="s">
        <v>563</v>
      </c>
      <c r="W224" s="142">
        <v>32.0</v>
      </c>
      <c r="X224" s="142">
        <v>256.0</v>
      </c>
      <c r="Y224" s="142">
        <v>1900.0</v>
      </c>
      <c r="Z224" s="103">
        <f>9/19</f>
        <v>0.4736842105</v>
      </c>
      <c r="AA224" s="142" t="s">
        <v>208</v>
      </c>
      <c r="AB224" s="105">
        <v>2082.68</v>
      </c>
      <c r="AC224" s="1"/>
      <c r="AD224" s="86">
        <f>if(Miscellaneous!E224*AWS!C$5&gt; 256, "", Miscellaneous!E224*AWS!C$5)</f>
        <v>223</v>
      </c>
      <c r="AE224" s="1"/>
      <c r="AF224" s="1"/>
      <c r="AG224" s="1"/>
    </row>
    <row r="225">
      <c r="A225" s="1"/>
      <c r="B225" s="1"/>
      <c r="C225" s="75"/>
      <c r="D225" s="1"/>
      <c r="E225" s="1"/>
      <c r="F225" s="1"/>
      <c r="G225" s="1"/>
      <c r="H225" s="1"/>
      <c r="I225" s="7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01" t="s">
        <v>557</v>
      </c>
      <c r="V225" s="91" t="s">
        <v>564</v>
      </c>
      <c r="W225" s="142">
        <v>48.0</v>
      </c>
      <c r="X225" s="142">
        <v>384.0</v>
      </c>
      <c r="Y225" s="142">
        <v>1900.0</v>
      </c>
      <c r="Z225" s="103">
        <v>2.0</v>
      </c>
      <c r="AA225" s="142" t="s">
        <v>296</v>
      </c>
      <c r="AB225" s="105">
        <v>4825.56</v>
      </c>
      <c r="AC225" s="1"/>
      <c r="AD225" s="86">
        <f>if(Miscellaneous!E225*AWS!C$5&gt; 256, "", Miscellaneous!E225*AWS!C$5)</f>
        <v>224</v>
      </c>
      <c r="AE225" s="1"/>
      <c r="AF225" s="1"/>
      <c r="AG225" s="1"/>
    </row>
    <row r="226">
      <c r="A226" s="1"/>
      <c r="B226" s="1"/>
      <c r="C226" s="75"/>
      <c r="D226" s="1"/>
      <c r="E226" s="1"/>
      <c r="F226" s="1"/>
      <c r="G226" s="1"/>
      <c r="H226" s="1"/>
      <c r="I226" s="76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01" t="s">
        <v>557</v>
      </c>
      <c r="V226" s="91" t="s">
        <v>565</v>
      </c>
      <c r="W226" s="142">
        <v>64.0</v>
      </c>
      <c r="X226" s="142">
        <v>512.0</v>
      </c>
      <c r="Y226" s="142">
        <v>1900.0</v>
      </c>
      <c r="Z226" s="103">
        <v>1.0</v>
      </c>
      <c r="AA226" s="142" t="s">
        <v>566</v>
      </c>
      <c r="AB226" s="105">
        <v>3484.75</v>
      </c>
      <c r="AC226" s="1"/>
      <c r="AD226" s="86">
        <f>if(Miscellaneous!E226*AWS!C$5&gt; 256, "", Miscellaneous!E226*AWS!C$5)</f>
        <v>225</v>
      </c>
      <c r="AE226" s="1"/>
      <c r="AF226" s="1"/>
      <c r="AG226" s="1"/>
    </row>
    <row r="227">
      <c r="A227" s="1"/>
      <c r="B227" s="1"/>
      <c r="C227" s="75"/>
      <c r="D227" s="1"/>
      <c r="E227" s="1"/>
      <c r="F227" s="1"/>
      <c r="G227" s="1"/>
      <c r="H227" s="1"/>
      <c r="I227" s="76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01" t="s">
        <v>557</v>
      </c>
      <c r="V227" s="91" t="s">
        <v>567</v>
      </c>
      <c r="W227" s="142">
        <v>96.0</v>
      </c>
      <c r="X227" s="142">
        <v>768.0</v>
      </c>
      <c r="Y227" s="142">
        <v>1900.0</v>
      </c>
      <c r="Z227" s="103">
        <v>2.0</v>
      </c>
      <c r="AA227" s="142" t="s">
        <v>421</v>
      </c>
      <c r="AB227" s="105">
        <v>6928.66</v>
      </c>
      <c r="AC227" s="1"/>
      <c r="AD227" s="86">
        <f>if(Miscellaneous!E227*AWS!C$5&gt; 256, "", Miscellaneous!E227*AWS!C$5)</f>
        <v>226</v>
      </c>
      <c r="AE227" s="1"/>
      <c r="AF227" s="1"/>
      <c r="AG227" s="1"/>
    </row>
    <row r="228">
      <c r="A228" s="1"/>
      <c r="B228" s="1"/>
      <c r="C228" s="75"/>
      <c r="D228" s="1"/>
      <c r="E228" s="1"/>
      <c r="F228" s="1"/>
      <c r="G228" s="1"/>
      <c r="H228" s="1"/>
      <c r="I228" s="76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01" t="s">
        <v>557</v>
      </c>
      <c r="V228" s="91" t="s">
        <v>568</v>
      </c>
      <c r="W228" s="142">
        <v>192.0</v>
      </c>
      <c r="X228" s="142">
        <v>1536.0</v>
      </c>
      <c r="Y228" s="142">
        <v>1900.0</v>
      </c>
      <c r="Z228" s="103">
        <v>4.0</v>
      </c>
      <c r="AA228" s="142" t="s">
        <v>569</v>
      </c>
      <c r="AB228" s="105">
        <v>13857.33</v>
      </c>
      <c r="AC228" s="1"/>
      <c r="AD228" s="86">
        <f>if(Miscellaneous!E228*AWS!C$5&gt; 256, "", Miscellaneous!E228*AWS!C$5)</f>
        <v>227</v>
      </c>
      <c r="AE228" s="1"/>
      <c r="AF228" s="1"/>
      <c r="AG228" s="1"/>
    </row>
    <row r="229">
      <c r="A229" s="1"/>
      <c r="B229" s="1"/>
      <c r="C229" s="75"/>
      <c r="D229" s="1"/>
      <c r="E229" s="1"/>
      <c r="F229" s="1"/>
      <c r="G229" s="1"/>
      <c r="H229" s="1"/>
      <c r="I229" s="76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01" t="s">
        <v>570</v>
      </c>
      <c r="V229" s="91" t="s">
        <v>571</v>
      </c>
      <c r="W229" s="142">
        <v>16.0</v>
      </c>
      <c r="X229" s="142">
        <v>128.0</v>
      </c>
      <c r="Y229" s="142">
        <v>450.0</v>
      </c>
      <c r="Z229" s="103">
        <f>60/45</f>
        <v>1.333333333</v>
      </c>
      <c r="AA229" s="142" t="s">
        <v>284</v>
      </c>
      <c r="AB229" s="105">
        <v>731.47</v>
      </c>
      <c r="AC229" s="1"/>
      <c r="AD229" s="86">
        <f>if(Miscellaneous!E229*AWS!C$5&gt; 256, "", Miscellaneous!E229*AWS!C$5)</f>
        <v>228</v>
      </c>
      <c r="AE229" s="1"/>
      <c r="AF229" s="1"/>
      <c r="AG229" s="1"/>
    </row>
    <row r="230">
      <c r="A230" s="1"/>
      <c r="B230" s="1"/>
      <c r="C230" s="75"/>
      <c r="D230" s="1"/>
      <c r="E230" s="1"/>
      <c r="F230" s="1"/>
      <c r="G230" s="1"/>
      <c r="H230" s="1"/>
      <c r="I230" s="76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01" t="s">
        <v>572</v>
      </c>
      <c r="V230" s="91" t="s">
        <v>573</v>
      </c>
      <c r="W230" s="142">
        <v>32.0</v>
      </c>
      <c r="X230" s="142">
        <v>256.0</v>
      </c>
      <c r="Y230" s="142">
        <v>450.0</v>
      </c>
      <c r="Z230" s="103">
        <v>2.0</v>
      </c>
      <c r="AA230" s="142" t="s">
        <v>208</v>
      </c>
      <c r="AB230" s="105">
        <v>1162.61</v>
      </c>
      <c r="AC230" s="1"/>
      <c r="AD230" s="86">
        <f>if(Miscellaneous!E230*AWS!C$5&gt; 256, "", Miscellaneous!E230*AWS!C$5)</f>
        <v>229</v>
      </c>
      <c r="AE230" s="1"/>
      <c r="AF230" s="1"/>
      <c r="AG230" s="1"/>
    </row>
    <row r="231">
      <c r="A231" s="1"/>
      <c r="B231" s="1"/>
      <c r="C231" s="75"/>
      <c r="D231" s="1"/>
      <c r="E231" s="1"/>
      <c r="F231" s="1"/>
      <c r="G231" s="1"/>
      <c r="H231" s="1"/>
      <c r="I231" s="76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01" t="s">
        <v>574</v>
      </c>
      <c r="V231" s="91" t="s">
        <v>575</v>
      </c>
      <c r="W231" s="142">
        <v>16.0</v>
      </c>
      <c r="X231" s="142">
        <v>128.0</v>
      </c>
      <c r="Y231" s="142">
        <v>0.0</v>
      </c>
      <c r="Z231" s="103">
        <v>0.0</v>
      </c>
      <c r="AA231" s="142" t="s">
        <v>421</v>
      </c>
      <c r="AB231" s="105">
        <v>967.62</v>
      </c>
      <c r="AC231" s="1"/>
      <c r="AD231" s="86">
        <f>if(Miscellaneous!E231*AWS!C$5&gt; 256, "", Miscellaneous!E231*AWS!C$5)</f>
        <v>230</v>
      </c>
      <c r="AE231" s="1"/>
      <c r="AF231" s="1"/>
      <c r="AG231" s="1"/>
    </row>
    <row r="232">
      <c r="A232" s="1"/>
      <c r="B232" s="1"/>
      <c r="C232" s="75"/>
      <c r="D232" s="1"/>
      <c r="E232" s="1"/>
      <c r="F232" s="1"/>
      <c r="G232" s="1"/>
      <c r="H232" s="1"/>
      <c r="I232" s="76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01" t="s">
        <v>576</v>
      </c>
      <c r="V232" s="91" t="s">
        <v>577</v>
      </c>
      <c r="W232" s="142">
        <v>32.0</v>
      </c>
      <c r="X232" s="142">
        <v>128.0</v>
      </c>
      <c r="Y232" s="142">
        <v>0.0</v>
      </c>
      <c r="Z232" s="103">
        <v>0.0</v>
      </c>
      <c r="AA232" s="142" t="s">
        <v>421</v>
      </c>
      <c r="AB232" s="105">
        <v>967.62</v>
      </c>
      <c r="AC232" s="1"/>
      <c r="AD232" s="86">
        <f>if(Miscellaneous!E232*AWS!C$5&gt; 256, "", Miscellaneous!E232*AWS!C$5)</f>
        <v>231</v>
      </c>
      <c r="AE232" s="1"/>
      <c r="AF232" s="1"/>
      <c r="AG232" s="1"/>
    </row>
    <row r="233">
      <c r="A233" s="1"/>
      <c r="B233" s="1"/>
      <c r="C233" s="75"/>
      <c r="D233" s="1"/>
      <c r="E233" s="1"/>
      <c r="F233" s="1"/>
      <c r="G233" s="1"/>
      <c r="H233" s="1"/>
      <c r="I233" s="76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01" t="s">
        <v>576</v>
      </c>
      <c r="V233" s="91" t="s">
        <v>578</v>
      </c>
      <c r="W233" s="142">
        <v>64.0</v>
      </c>
      <c r="X233" s="142">
        <v>128.0</v>
      </c>
      <c r="Y233" s="142">
        <v>0.0</v>
      </c>
      <c r="Z233" s="103">
        <v>0.0</v>
      </c>
      <c r="AA233" s="142" t="s">
        <v>421</v>
      </c>
      <c r="AB233" s="105">
        <v>967.62</v>
      </c>
      <c r="AC233" s="1"/>
      <c r="AD233" s="86">
        <f>if(Miscellaneous!E233*AWS!C$5&gt; 256, "", Miscellaneous!E233*AWS!C$5)</f>
        <v>232</v>
      </c>
      <c r="AE233" s="1"/>
      <c r="AF233" s="1"/>
      <c r="AG233" s="1"/>
    </row>
    <row r="234">
      <c r="A234" s="1"/>
      <c r="B234" s="1"/>
      <c r="C234" s="75"/>
      <c r="D234" s="1"/>
      <c r="E234" s="1"/>
      <c r="F234" s="1"/>
      <c r="G234" s="1"/>
      <c r="H234" s="1"/>
      <c r="I234" s="76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01" t="s">
        <v>579</v>
      </c>
      <c r="V234" s="91" t="s">
        <v>580</v>
      </c>
      <c r="W234" s="142">
        <v>2.0</v>
      </c>
      <c r="X234" s="142">
        <v>15.25</v>
      </c>
      <c r="Y234" s="142">
        <v>1900.0</v>
      </c>
      <c r="Z234" s="103">
        <v>0.25</v>
      </c>
      <c r="AA234" s="142" t="s">
        <v>105</v>
      </c>
      <c r="AB234" s="105">
        <v>78.11</v>
      </c>
      <c r="AC234" s="1"/>
      <c r="AD234" s="86">
        <f>if(Miscellaneous!E234*AWS!C$5&gt; 256, "", Miscellaneous!E234*AWS!C$5)</f>
        <v>233</v>
      </c>
      <c r="AE234" s="1"/>
      <c r="AF234" s="1"/>
      <c r="AG234" s="1"/>
    </row>
    <row r="235">
      <c r="A235" s="1"/>
      <c r="B235" s="1"/>
      <c r="C235" s="75"/>
      <c r="D235" s="1"/>
      <c r="E235" s="1"/>
      <c r="F235" s="1"/>
      <c r="G235" s="1"/>
      <c r="H235" s="1"/>
      <c r="I235" s="76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01" t="s">
        <v>581</v>
      </c>
      <c r="V235" s="91" t="s">
        <v>582</v>
      </c>
      <c r="W235" s="142">
        <v>4.0</v>
      </c>
      <c r="X235" s="142">
        <v>30.5</v>
      </c>
      <c r="Y235" s="142">
        <v>1900.0</v>
      </c>
      <c r="Z235" s="103">
        <v>0.5</v>
      </c>
      <c r="AA235" s="142" t="s">
        <v>105</v>
      </c>
      <c r="AB235" s="105">
        <v>156.22</v>
      </c>
      <c r="AC235" s="1"/>
      <c r="AD235" s="86">
        <f>if(Miscellaneous!E235*AWS!C$5&gt; 256, "", Miscellaneous!E235*AWS!C$5)</f>
        <v>234</v>
      </c>
      <c r="AE235" s="1"/>
      <c r="AF235" s="1"/>
      <c r="AG235" s="1"/>
    </row>
    <row r="236">
      <c r="A236" s="1"/>
      <c r="B236" s="1"/>
      <c r="C236" s="75"/>
      <c r="D236" s="1"/>
      <c r="E236" s="1"/>
      <c r="F236" s="1"/>
      <c r="G236" s="1"/>
      <c r="H236" s="1"/>
      <c r="I236" s="76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01" t="s">
        <v>579</v>
      </c>
      <c r="V236" s="91" t="s">
        <v>583</v>
      </c>
      <c r="W236" s="142">
        <v>8.0</v>
      </c>
      <c r="X236" s="142">
        <v>61.0</v>
      </c>
      <c r="Y236" s="142">
        <v>1900.0</v>
      </c>
      <c r="Z236" s="103">
        <v>1.0</v>
      </c>
      <c r="AA236" s="142" t="s">
        <v>105</v>
      </c>
      <c r="AB236" s="105">
        <v>312.44</v>
      </c>
      <c r="AC236" s="1"/>
      <c r="AD236" s="86">
        <f>if(Miscellaneous!E236*AWS!C$5&gt; 256, "", Miscellaneous!E236*AWS!C$5)</f>
        <v>235</v>
      </c>
      <c r="AE236" s="1"/>
      <c r="AF236" s="1"/>
      <c r="AG236" s="1"/>
    </row>
    <row r="237">
      <c r="A237" s="1"/>
      <c r="B237" s="1"/>
      <c r="C237" s="75"/>
      <c r="D237" s="1"/>
      <c r="E237" s="1"/>
      <c r="F237" s="1"/>
      <c r="G237" s="1"/>
      <c r="H237" s="1"/>
      <c r="I237" s="76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01" t="s">
        <v>579</v>
      </c>
      <c r="V237" s="91" t="s">
        <v>584</v>
      </c>
      <c r="W237" s="142">
        <v>16.0</v>
      </c>
      <c r="X237" s="142">
        <v>122.0</v>
      </c>
      <c r="Y237" s="142">
        <v>1900.0</v>
      </c>
      <c r="Z237" s="103">
        <v>2.0</v>
      </c>
      <c r="AA237" s="142" t="s">
        <v>105</v>
      </c>
      <c r="AB237" s="105">
        <v>625.61</v>
      </c>
      <c r="AC237" s="1"/>
      <c r="AD237" s="86">
        <f>if(Miscellaneous!E237*AWS!C$5&gt; 256, "", Miscellaneous!E237*AWS!C$5)</f>
        <v>236</v>
      </c>
      <c r="AE237" s="1"/>
      <c r="AF237" s="1"/>
      <c r="AG237" s="1"/>
    </row>
    <row r="238">
      <c r="A238" s="1"/>
      <c r="B238" s="1"/>
      <c r="C238" s="75"/>
      <c r="D238" s="1"/>
      <c r="E238" s="1"/>
      <c r="F238" s="1"/>
      <c r="G238" s="1"/>
      <c r="H238" s="1"/>
      <c r="I238" s="76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01" t="s">
        <v>579</v>
      </c>
      <c r="V238" s="91" t="s">
        <v>585</v>
      </c>
      <c r="W238" s="142">
        <v>32.0</v>
      </c>
      <c r="X238" s="142">
        <v>244.0</v>
      </c>
      <c r="Y238" s="142">
        <v>1900.0</v>
      </c>
      <c r="Z238" s="103">
        <v>4.0</v>
      </c>
      <c r="AA238" s="142" t="s">
        <v>154</v>
      </c>
      <c r="AB238" s="105">
        <v>1251.22</v>
      </c>
      <c r="AC238" s="1"/>
      <c r="AD238" s="86">
        <f>if(Miscellaneous!E238*AWS!C$5&gt; 256, "", Miscellaneous!E238*AWS!C$5)</f>
        <v>237</v>
      </c>
      <c r="AE238" s="1"/>
      <c r="AF238" s="1"/>
      <c r="AG238" s="1"/>
    </row>
    <row r="239">
      <c r="A239" s="1"/>
      <c r="B239" s="1"/>
      <c r="C239" s="75"/>
      <c r="D239" s="1"/>
      <c r="E239" s="1"/>
      <c r="F239" s="1"/>
      <c r="G239" s="1"/>
      <c r="H239" s="1"/>
      <c r="I239" s="76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01" t="s">
        <v>579</v>
      </c>
      <c r="V239" s="91" t="s">
        <v>586</v>
      </c>
      <c r="W239" s="142">
        <v>64.0</v>
      </c>
      <c r="X239" s="142">
        <v>488.0</v>
      </c>
      <c r="Y239" s="142">
        <v>1900.0</v>
      </c>
      <c r="Z239" s="103">
        <v>8.0</v>
      </c>
      <c r="AA239" s="142" t="s">
        <v>208</v>
      </c>
      <c r="AB239" s="105">
        <v>2501.71</v>
      </c>
      <c r="AC239" s="1"/>
      <c r="AD239" s="86">
        <f>if(Miscellaneous!E239*AWS!C$5&gt; 256, "", Miscellaneous!E239*AWS!C$5)</f>
        <v>238</v>
      </c>
      <c r="AE239" s="1"/>
      <c r="AF239" s="1"/>
      <c r="AG239" s="1"/>
    </row>
    <row r="240">
      <c r="A240" s="1"/>
      <c r="B240" s="1"/>
      <c r="C240" s="75"/>
      <c r="D240" s="1"/>
      <c r="E240" s="1"/>
      <c r="F240" s="1"/>
      <c r="G240" s="1"/>
      <c r="H240" s="1"/>
      <c r="I240" s="76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01" t="s">
        <v>587</v>
      </c>
      <c r="V240" s="91" t="s">
        <v>588</v>
      </c>
      <c r="W240" s="142">
        <v>2.0</v>
      </c>
      <c r="X240" s="142">
        <v>16.0</v>
      </c>
      <c r="Y240" s="142">
        <v>7500.0</v>
      </c>
      <c r="Z240" s="103">
        <f>125/750</f>
        <v>0.1666666667</v>
      </c>
      <c r="AA240" s="142" t="s">
        <v>284</v>
      </c>
      <c r="AB240" s="105">
        <v>112.42</v>
      </c>
      <c r="AC240" s="1"/>
      <c r="AD240" s="86">
        <f>if(Miscellaneous!E240*AWS!C$5&gt; 256, "", Miscellaneous!E240*AWS!C$5)</f>
        <v>239</v>
      </c>
      <c r="AE240" s="1"/>
      <c r="AF240" s="1"/>
      <c r="AG240" s="1"/>
    </row>
    <row r="241">
      <c r="A241" s="1"/>
      <c r="B241" s="1"/>
      <c r="C241" s="75"/>
      <c r="D241" s="1"/>
      <c r="E241" s="1"/>
      <c r="F241" s="1"/>
      <c r="G241" s="1"/>
      <c r="H241" s="1"/>
      <c r="I241" s="76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01" t="s">
        <v>589</v>
      </c>
      <c r="V241" s="91" t="s">
        <v>590</v>
      </c>
      <c r="W241" s="142">
        <v>4.0</v>
      </c>
      <c r="X241" s="142">
        <v>32.0</v>
      </c>
      <c r="Y241" s="142">
        <v>7500.0</v>
      </c>
      <c r="Z241" s="103">
        <f>1/3</f>
        <v>0.3333333333</v>
      </c>
      <c r="AA241" s="142" t="s">
        <v>284</v>
      </c>
      <c r="AB241" s="105">
        <v>224.84</v>
      </c>
      <c r="AC241" s="1"/>
      <c r="AD241" s="86">
        <f>if(Miscellaneous!E241*AWS!C$5&gt; 256, "", Miscellaneous!E241*AWS!C$5)</f>
        <v>240</v>
      </c>
      <c r="AE241" s="1"/>
      <c r="AF241" s="1"/>
      <c r="AG241" s="1"/>
    </row>
    <row r="242">
      <c r="A242" s="1"/>
      <c r="B242" s="1"/>
      <c r="C242" s="75"/>
      <c r="D242" s="1"/>
      <c r="E242" s="1"/>
      <c r="F242" s="1"/>
      <c r="G242" s="1"/>
      <c r="H242" s="1"/>
      <c r="I242" s="76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01" t="s">
        <v>587</v>
      </c>
      <c r="V242" s="91" t="s">
        <v>591</v>
      </c>
      <c r="W242" s="142">
        <v>8.0</v>
      </c>
      <c r="X242" s="142">
        <v>64.0</v>
      </c>
      <c r="Y242" s="142">
        <v>7500.0</v>
      </c>
      <c r="Z242" s="103">
        <f>2/3</f>
        <v>0.6666666667</v>
      </c>
      <c r="AA242" s="142" t="s">
        <v>284</v>
      </c>
      <c r="AB242" s="105">
        <v>449.68</v>
      </c>
      <c r="AC242" s="1"/>
      <c r="AD242" s="86">
        <f>if(Miscellaneous!E242*AWS!C$5&gt; 256, "", Miscellaneous!E242*AWS!C$5)</f>
        <v>241</v>
      </c>
      <c r="AE242" s="1"/>
      <c r="AF242" s="1"/>
      <c r="AG242" s="1"/>
    </row>
    <row r="243">
      <c r="A243" s="1"/>
      <c r="B243" s="1"/>
      <c r="C243" s="75"/>
      <c r="D243" s="1"/>
      <c r="E243" s="1"/>
      <c r="F243" s="1"/>
      <c r="G243" s="1"/>
      <c r="H243" s="1"/>
      <c r="I243" s="76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01" t="s">
        <v>587</v>
      </c>
      <c r="V243" s="91" t="s">
        <v>592</v>
      </c>
      <c r="W243" s="142">
        <v>12.0</v>
      </c>
      <c r="X243" s="142">
        <v>96.0</v>
      </c>
      <c r="Y243" s="142">
        <v>7500.0</v>
      </c>
      <c r="Z243" s="103">
        <v>1.0</v>
      </c>
      <c r="AA243" s="142" t="s">
        <v>284</v>
      </c>
      <c r="AB243" s="105">
        <v>674.52</v>
      </c>
      <c r="AC243" s="1"/>
      <c r="AD243" s="86">
        <f>if(Miscellaneous!E243*AWS!C$5&gt; 256, "", Miscellaneous!E243*AWS!C$5)</f>
        <v>242</v>
      </c>
      <c r="AE243" s="1"/>
      <c r="AF243" s="1"/>
      <c r="AG243" s="1"/>
    </row>
    <row r="244">
      <c r="A244" s="1"/>
      <c r="B244" s="1"/>
      <c r="C244" s="75"/>
      <c r="D244" s="1"/>
      <c r="E244" s="1"/>
      <c r="F244" s="1"/>
      <c r="G244" s="1"/>
      <c r="H244" s="1"/>
      <c r="I244" s="76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01" t="s">
        <v>587</v>
      </c>
      <c r="V244" s="91" t="s">
        <v>593</v>
      </c>
      <c r="W244" s="142">
        <v>24.0</v>
      </c>
      <c r="X244" s="142">
        <v>192.0</v>
      </c>
      <c r="Y244" s="142">
        <v>7500.0</v>
      </c>
      <c r="Z244" s="103">
        <v>2.0</v>
      </c>
      <c r="AA244" s="142" t="s">
        <v>208</v>
      </c>
      <c r="AB244" s="105">
        <v>1348.31</v>
      </c>
      <c r="AC244" s="1"/>
      <c r="AD244" s="86">
        <f>if(Miscellaneous!E244*AWS!C$5&gt; 256, "", Miscellaneous!E244*AWS!C$5)</f>
        <v>243</v>
      </c>
      <c r="AE244" s="1"/>
      <c r="AF244" s="1"/>
      <c r="AG244" s="1"/>
    </row>
    <row r="245">
      <c r="A245" s="1"/>
      <c r="B245" s="1"/>
      <c r="C245" s="75"/>
      <c r="D245" s="1"/>
      <c r="E245" s="1"/>
      <c r="F245" s="1"/>
      <c r="G245" s="1"/>
      <c r="H245" s="1"/>
      <c r="I245" s="76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01" t="s">
        <v>587</v>
      </c>
      <c r="V245" s="91" t="s">
        <v>594</v>
      </c>
      <c r="W245" s="142">
        <v>48.0</v>
      </c>
      <c r="X245" s="142">
        <v>384.0</v>
      </c>
      <c r="Y245" s="142">
        <v>7500.0</v>
      </c>
      <c r="Z245" s="103">
        <v>4.0</v>
      </c>
      <c r="AA245" s="142" t="s">
        <v>294</v>
      </c>
      <c r="AB245" s="105">
        <v>2696.62</v>
      </c>
      <c r="AC245" s="1"/>
      <c r="AD245" s="86">
        <f>if(Miscellaneous!E245*AWS!C$5&gt; 256, "", Miscellaneous!E245*AWS!C$5)</f>
        <v>244</v>
      </c>
      <c r="AE245" s="1"/>
      <c r="AF245" s="1"/>
      <c r="AG245" s="1"/>
    </row>
    <row r="246">
      <c r="A246" s="1"/>
      <c r="B246" s="1"/>
      <c r="C246" s="75"/>
      <c r="D246" s="1"/>
      <c r="E246" s="1"/>
      <c r="F246" s="1"/>
      <c r="G246" s="1"/>
      <c r="H246" s="1"/>
      <c r="I246" s="76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01" t="s">
        <v>587</v>
      </c>
      <c r="V246" s="91" t="s">
        <v>595</v>
      </c>
      <c r="W246" s="142">
        <v>96.0</v>
      </c>
      <c r="X246" s="142">
        <v>768.0</v>
      </c>
      <c r="Y246" s="142">
        <v>7500.0</v>
      </c>
      <c r="Z246" s="103">
        <v>8.0</v>
      </c>
      <c r="AA246" s="142" t="s">
        <v>296</v>
      </c>
      <c r="AB246" s="105">
        <v>5393.24</v>
      </c>
      <c r="AC246" s="1"/>
      <c r="AD246" s="86">
        <f>if(Miscellaneous!E246*AWS!C$5&gt; 256, "", Miscellaneous!E246*AWS!C$5)</f>
        <v>245</v>
      </c>
      <c r="AE246" s="1"/>
      <c r="AF246" s="1"/>
      <c r="AG246" s="1"/>
    </row>
    <row r="247">
      <c r="A247" s="1"/>
      <c r="B247" s="1"/>
      <c r="C247" s="75"/>
      <c r="D247" s="1"/>
      <c r="E247" s="1"/>
      <c r="F247" s="1"/>
      <c r="G247" s="1"/>
      <c r="H247" s="1"/>
      <c r="I247" s="76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01" t="s">
        <v>596</v>
      </c>
      <c r="V247" s="91" t="s">
        <v>597</v>
      </c>
      <c r="W247" s="142">
        <v>2.0</v>
      </c>
      <c r="X247" s="142">
        <v>16.0</v>
      </c>
      <c r="Y247" s="142">
        <v>3750.0</v>
      </c>
      <c r="Z247" s="103">
        <v>0.125</v>
      </c>
      <c r="AA247" s="142" t="s">
        <v>105</v>
      </c>
      <c r="AB247" s="105">
        <v>73.16</v>
      </c>
      <c r="AC247" s="1"/>
      <c r="AD247" s="86">
        <f>if(Miscellaneous!E247*AWS!C$5&gt; 256, "", Miscellaneous!E247*AWS!C$5)</f>
        <v>246</v>
      </c>
      <c r="AE247" s="1"/>
      <c r="AF247" s="1"/>
      <c r="AG247" s="1"/>
    </row>
    <row r="248">
      <c r="A248" s="1"/>
      <c r="B248" s="1"/>
      <c r="C248" s="75"/>
      <c r="D248" s="1"/>
      <c r="E248" s="1"/>
      <c r="F248" s="1"/>
      <c r="G248" s="1"/>
      <c r="H248" s="1"/>
      <c r="I248" s="76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01" t="s">
        <v>596</v>
      </c>
      <c r="V248" s="91" t="s">
        <v>598</v>
      </c>
      <c r="W248" s="142">
        <v>4.0</v>
      </c>
      <c r="X248" s="142">
        <v>32.0</v>
      </c>
      <c r="Y248" s="142">
        <v>3750.0</v>
      </c>
      <c r="Z248" s="103">
        <v>0.25</v>
      </c>
      <c r="AA248" s="142" t="s">
        <v>105</v>
      </c>
      <c r="AB248" s="105">
        <v>146.33</v>
      </c>
      <c r="AC248" s="1"/>
      <c r="AD248" s="86">
        <f>if(Miscellaneous!E248*AWS!C$5&gt; 256, "", Miscellaneous!E248*AWS!C$5)</f>
        <v>247</v>
      </c>
      <c r="AE248" s="1"/>
      <c r="AF248" s="1"/>
      <c r="AG248" s="1"/>
    </row>
    <row r="249">
      <c r="A249" s="1"/>
      <c r="B249" s="1"/>
      <c r="C249" s="75"/>
      <c r="D249" s="1"/>
      <c r="E249" s="1"/>
      <c r="F249" s="1"/>
      <c r="G249" s="1"/>
      <c r="H249" s="1"/>
      <c r="I249" s="76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01" t="s">
        <v>599</v>
      </c>
      <c r="V249" s="91" t="s">
        <v>600</v>
      </c>
      <c r="W249" s="142">
        <v>8.0</v>
      </c>
      <c r="X249" s="142">
        <v>64.0</v>
      </c>
      <c r="Y249" s="142">
        <v>3750.0</v>
      </c>
      <c r="Z249" s="103">
        <v>0.5</v>
      </c>
      <c r="AA249" s="142" t="s">
        <v>601</v>
      </c>
      <c r="AB249" s="105">
        <v>292.65</v>
      </c>
      <c r="AC249" s="1"/>
      <c r="AD249" s="86">
        <f>if(Miscellaneous!E249*AWS!C$5&gt; 256, "", Miscellaneous!E249*AWS!C$5)</f>
        <v>248</v>
      </c>
      <c r="AE249" s="1"/>
      <c r="AF249" s="1"/>
      <c r="AG249" s="1"/>
    </row>
    <row r="250">
      <c r="A250" s="1"/>
      <c r="B250" s="1"/>
      <c r="C250" s="75"/>
      <c r="D250" s="1"/>
      <c r="E250" s="1"/>
      <c r="F250" s="1"/>
      <c r="G250" s="1"/>
      <c r="H250" s="1"/>
      <c r="I250" s="76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01" t="s">
        <v>596</v>
      </c>
      <c r="V250" s="91" t="s">
        <v>602</v>
      </c>
      <c r="W250" s="142">
        <v>16.0</v>
      </c>
      <c r="X250" s="142">
        <v>128.0</v>
      </c>
      <c r="Y250" s="142">
        <v>3750.0</v>
      </c>
      <c r="Z250" s="103">
        <v>1.0</v>
      </c>
      <c r="AA250" s="142" t="s">
        <v>284</v>
      </c>
      <c r="AB250" s="105">
        <v>585.3</v>
      </c>
      <c r="AC250" s="1"/>
      <c r="AD250" s="86">
        <f>if(Miscellaneous!E250*AWS!C$5&gt; 256, "", Miscellaneous!E250*AWS!C$5)</f>
        <v>249</v>
      </c>
      <c r="AE250" s="1"/>
      <c r="AF250" s="1"/>
      <c r="AG250" s="1"/>
    </row>
    <row r="251">
      <c r="A251" s="1"/>
      <c r="B251" s="1"/>
      <c r="C251" s="75"/>
      <c r="D251" s="1"/>
      <c r="E251" s="1"/>
      <c r="F251" s="1"/>
      <c r="G251" s="1"/>
      <c r="H251" s="1"/>
      <c r="I251" s="76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01" t="s">
        <v>596</v>
      </c>
      <c r="V251" s="91" t="s">
        <v>603</v>
      </c>
      <c r="W251" s="142">
        <v>32.0</v>
      </c>
      <c r="X251" s="142">
        <v>256.0</v>
      </c>
      <c r="Y251" s="142">
        <v>3750.0</v>
      </c>
      <c r="Z251" s="103">
        <v>2.0</v>
      </c>
      <c r="AA251" s="142" t="s">
        <v>311</v>
      </c>
      <c r="AB251" s="105">
        <v>1170.6</v>
      </c>
      <c r="AC251" s="1"/>
      <c r="AD251" s="86">
        <f>if(Miscellaneous!E251*AWS!C$5&gt; 256, "", Miscellaneous!E251*AWS!C$5)</f>
        <v>250</v>
      </c>
      <c r="AE251" s="1"/>
      <c r="AF251" s="1"/>
      <c r="AG251" s="1"/>
    </row>
    <row r="252">
      <c r="A252" s="1"/>
      <c r="B252" s="1"/>
      <c r="C252" s="75"/>
      <c r="D252" s="1"/>
      <c r="E252" s="1"/>
      <c r="F252" s="1"/>
      <c r="G252" s="1"/>
      <c r="H252" s="1"/>
      <c r="I252" s="76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01" t="s">
        <v>596</v>
      </c>
      <c r="V252" s="91" t="s">
        <v>604</v>
      </c>
      <c r="W252" s="142">
        <v>64.0</v>
      </c>
      <c r="X252" s="142">
        <v>512.0</v>
      </c>
      <c r="Y252" s="142">
        <v>3750.0</v>
      </c>
      <c r="Z252" s="103">
        <v>4.0</v>
      </c>
      <c r="AA252" s="142" t="s">
        <v>315</v>
      </c>
      <c r="AB252" s="105">
        <v>2341.2</v>
      </c>
      <c r="AC252" s="1"/>
      <c r="AD252" s="86">
        <f>if(Miscellaneous!E252*AWS!C$5&gt; 256, "", Miscellaneous!E252*AWS!C$5)</f>
        <v>251</v>
      </c>
      <c r="AE252" s="1"/>
      <c r="AF252" s="1"/>
      <c r="AG252" s="1"/>
    </row>
    <row r="253">
      <c r="A253" s="1"/>
      <c r="B253" s="1"/>
      <c r="C253" s="75"/>
      <c r="D253" s="1"/>
      <c r="E253" s="1"/>
      <c r="F253" s="1"/>
      <c r="G253" s="1"/>
      <c r="H253" s="1"/>
      <c r="I253" s="76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01" t="s">
        <v>605</v>
      </c>
      <c r="V253" s="91" t="s">
        <v>606</v>
      </c>
      <c r="W253" s="142">
        <v>2.0</v>
      </c>
      <c r="X253" s="142">
        <v>16.0</v>
      </c>
      <c r="Y253" s="142">
        <v>3750.0</v>
      </c>
      <c r="Z253" s="103">
        <v>0.125</v>
      </c>
      <c r="AA253" s="142" t="s">
        <v>105</v>
      </c>
      <c r="AB253" s="105">
        <v>81.03</v>
      </c>
      <c r="AC253" s="1"/>
      <c r="AD253" s="86">
        <f>if(Miscellaneous!E253*AWS!C$5&gt; 256, "", Miscellaneous!E253*AWS!C$5)</f>
        <v>252</v>
      </c>
      <c r="AE253" s="1"/>
      <c r="AF253" s="1"/>
      <c r="AG253" s="1"/>
    </row>
    <row r="254">
      <c r="A254" s="1"/>
      <c r="B254" s="1"/>
      <c r="C254" s="75"/>
      <c r="D254" s="1"/>
      <c r="E254" s="1"/>
      <c r="F254" s="1"/>
      <c r="G254" s="1"/>
      <c r="H254" s="1"/>
      <c r="I254" s="76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01" t="s">
        <v>605</v>
      </c>
      <c r="V254" s="91" t="s">
        <v>607</v>
      </c>
      <c r="W254" s="142">
        <v>4.0</v>
      </c>
      <c r="X254" s="142">
        <v>32.0</v>
      </c>
      <c r="Y254" s="142">
        <v>3750.0</v>
      </c>
      <c r="Z254" s="103">
        <v>0.25</v>
      </c>
      <c r="AA254" s="142" t="s">
        <v>105</v>
      </c>
      <c r="AB254" s="105">
        <v>162.79</v>
      </c>
      <c r="AC254" s="1"/>
      <c r="AD254" s="86">
        <f>if(Miscellaneous!E254*AWS!C$5&gt; 256, "", Miscellaneous!E254*AWS!C$5)</f>
        <v>253</v>
      </c>
      <c r="AE254" s="1"/>
      <c r="AF254" s="1"/>
      <c r="AG254" s="1"/>
    </row>
    <row r="255">
      <c r="A255" s="1"/>
      <c r="B255" s="1"/>
      <c r="C255" s="75"/>
      <c r="D255" s="1"/>
      <c r="E255" s="1"/>
      <c r="F255" s="1"/>
      <c r="G255" s="1"/>
      <c r="H255" s="1"/>
      <c r="I255" s="76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01" t="s">
        <v>608</v>
      </c>
      <c r="V255" s="91" t="s">
        <v>609</v>
      </c>
      <c r="W255" s="142">
        <v>8.0</v>
      </c>
      <c r="X255" s="142">
        <v>64.0</v>
      </c>
      <c r="Y255" s="142">
        <v>3750.0</v>
      </c>
      <c r="Z255" s="103">
        <v>0.5</v>
      </c>
      <c r="AA255" s="142" t="s">
        <v>601</v>
      </c>
      <c r="AB255" s="105">
        <v>324.85</v>
      </c>
      <c r="AC255" s="1"/>
      <c r="AD255" s="86">
        <f>if(Miscellaneous!E255*AWS!C$5&gt; 256, "", Miscellaneous!E255*AWS!C$5)</f>
        <v>254</v>
      </c>
      <c r="AE255" s="1"/>
      <c r="AF255" s="1"/>
      <c r="AG255" s="1"/>
    </row>
    <row r="256">
      <c r="A256" s="1"/>
      <c r="B256" s="1"/>
      <c r="C256" s="75"/>
      <c r="D256" s="1"/>
      <c r="E256" s="1"/>
      <c r="F256" s="1"/>
      <c r="G256" s="1"/>
      <c r="H256" s="1"/>
      <c r="I256" s="76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01" t="s">
        <v>605</v>
      </c>
      <c r="V256" s="91" t="s">
        <v>610</v>
      </c>
      <c r="W256" s="142">
        <v>16.0</v>
      </c>
      <c r="X256" s="142">
        <v>128.0</v>
      </c>
      <c r="Y256" s="142">
        <v>3750.0</v>
      </c>
      <c r="Z256" s="103">
        <v>1.0</v>
      </c>
      <c r="AA256" s="142" t="s">
        <v>284</v>
      </c>
      <c r="AB256" s="105">
        <v>650.43</v>
      </c>
      <c r="AC256" s="1"/>
      <c r="AD256" s="86">
        <f>if(Miscellaneous!E256*AWS!C$5&gt; 256, "", Miscellaneous!E256*AWS!C$5)</f>
        <v>255</v>
      </c>
      <c r="AE256" s="1"/>
      <c r="AF256" s="1"/>
      <c r="AG256" s="1"/>
    </row>
    <row r="257">
      <c r="A257" s="1"/>
      <c r="B257" s="1"/>
      <c r="C257" s="75"/>
      <c r="D257" s="1"/>
      <c r="E257" s="1"/>
      <c r="F257" s="1"/>
      <c r="G257" s="1"/>
      <c r="H257" s="1"/>
      <c r="I257" s="76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01" t="s">
        <v>605</v>
      </c>
      <c r="V257" s="91" t="s">
        <v>611</v>
      </c>
      <c r="W257" s="142">
        <v>32.0</v>
      </c>
      <c r="X257" s="142">
        <v>256.0</v>
      </c>
      <c r="Y257" s="142">
        <v>3750.0</v>
      </c>
      <c r="Z257" s="103">
        <v>2.0</v>
      </c>
      <c r="AA257" s="142" t="s">
        <v>311</v>
      </c>
      <c r="AB257" s="105">
        <v>1300.86</v>
      </c>
      <c r="AC257" s="1"/>
      <c r="AD257" s="86">
        <f>if(Miscellaneous!E257*AWS!C$5&gt; 256, "", Miscellaneous!E257*AWS!C$5)</f>
        <v>256</v>
      </c>
      <c r="AE257" s="1"/>
      <c r="AF257" s="1"/>
      <c r="AG257" s="1"/>
    </row>
    <row r="258">
      <c r="A258" s="1"/>
      <c r="B258" s="1"/>
      <c r="C258" s="75"/>
      <c r="D258" s="1"/>
      <c r="E258" s="1"/>
      <c r="F258" s="1"/>
      <c r="G258" s="1"/>
      <c r="H258" s="1"/>
      <c r="I258" s="76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01" t="s">
        <v>605</v>
      </c>
      <c r="V258" s="91" t="s">
        <v>612</v>
      </c>
      <c r="W258" s="142">
        <v>48.0</v>
      </c>
      <c r="X258" s="142">
        <v>384.0</v>
      </c>
      <c r="Y258" s="142">
        <v>3750.0</v>
      </c>
      <c r="Z258" s="103">
        <v>3.0</v>
      </c>
      <c r="AA258" s="142" t="s">
        <v>613</v>
      </c>
      <c r="AB258" s="105">
        <v>1950.56</v>
      </c>
      <c r="AC258" s="1"/>
      <c r="AE258" s="1"/>
      <c r="AF258" s="1"/>
      <c r="AG258" s="1"/>
    </row>
    <row r="259">
      <c r="A259" s="1"/>
      <c r="B259" s="1"/>
      <c r="C259" s="75"/>
      <c r="D259" s="1"/>
      <c r="E259" s="1"/>
      <c r="F259" s="1"/>
      <c r="G259" s="1"/>
      <c r="H259" s="1"/>
      <c r="I259" s="76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01" t="s">
        <v>605</v>
      </c>
      <c r="V259" s="91" t="s">
        <v>614</v>
      </c>
      <c r="W259" s="142">
        <v>64.0</v>
      </c>
      <c r="X259" s="142">
        <v>512.0</v>
      </c>
      <c r="Y259" s="142">
        <v>3750.0</v>
      </c>
      <c r="Z259" s="103">
        <v>4.0</v>
      </c>
      <c r="AA259" s="142" t="s">
        <v>315</v>
      </c>
      <c r="AB259" s="105">
        <v>2600.99</v>
      </c>
      <c r="AC259" s="1"/>
      <c r="AD259" s="1"/>
      <c r="AE259" s="1"/>
      <c r="AF259" s="1"/>
      <c r="AG259" s="1"/>
    </row>
    <row r="260">
      <c r="A260" s="1"/>
      <c r="B260" s="1"/>
      <c r="C260" s="75"/>
      <c r="D260" s="1"/>
      <c r="E260" s="1"/>
      <c r="F260" s="1"/>
      <c r="G260" s="1"/>
      <c r="H260" s="1"/>
      <c r="I260" s="76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01" t="s">
        <v>605</v>
      </c>
      <c r="V260" s="91" t="s">
        <v>615</v>
      </c>
      <c r="W260" s="142">
        <v>96.0</v>
      </c>
      <c r="X260" s="142">
        <v>768.0</v>
      </c>
      <c r="Y260" s="142">
        <v>3750.0</v>
      </c>
      <c r="Z260" s="103">
        <v>6.0</v>
      </c>
      <c r="AA260" s="142" t="s">
        <v>616</v>
      </c>
      <c r="AB260" s="105">
        <v>3901.79</v>
      </c>
      <c r="AC260" s="1"/>
      <c r="AD260" s="1"/>
      <c r="AE260" s="1"/>
      <c r="AF260" s="1"/>
      <c r="AG260" s="1"/>
    </row>
    <row r="261">
      <c r="A261" s="1"/>
      <c r="B261" s="1"/>
      <c r="C261" s="75"/>
      <c r="D261" s="1"/>
      <c r="E261" s="1"/>
      <c r="F261" s="1"/>
      <c r="G261" s="1"/>
      <c r="H261" s="1"/>
      <c r="I261" s="76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01" t="s">
        <v>605</v>
      </c>
      <c r="V261" s="91" t="s">
        <v>617</v>
      </c>
      <c r="W261" s="142">
        <v>128.0</v>
      </c>
      <c r="X261" s="142">
        <v>1024.0</v>
      </c>
      <c r="Y261" s="142">
        <v>3750.0</v>
      </c>
      <c r="Z261" s="103">
        <v>8.0</v>
      </c>
      <c r="AA261" s="142" t="s">
        <v>364</v>
      </c>
      <c r="AB261" s="105">
        <v>5202.39</v>
      </c>
      <c r="AC261" s="1"/>
      <c r="AD261" s="1"/>
      <c r="AE261" s="1"/>
      <c r="AF261" s="1"/>
      <c r="AG261" s="1"/>
    </row>
    <row r="262">
      <c r="A262" s="1"/>
      <c r="B262" s="1"/>
      <c r="C262" s="75"/>
      <c r="D262" s="1"/>
      <c r="E262" s="1"/>
      <c r="F262" s="1"/>
      <c r="G262" s="1"/>
      <c r="H262" s="1"/>
      <c r="I262" s="76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01" t="s">
        <v>618</v>
      </c>
      <c r="V262" s="91" t="s">
        <v>619</v>
      </c>
      <c r="W262" s="142">
        <v>2.0</v>
      </c>
      <c r="X262" s="142">
        <v>16.0</v>
      </c>
      <c r="Y262" s="142">
        <v>3750.0</v>
      </c>
      <c r="Z262" s="103">
        <v>0.125</v>
      </c>
      <c r="AA262" s="142" t="s">
        <v>105</v>
      </c>
      <c r="AB262" s="105">
        <v>90.82</v>
      </c>
      <c r="AC262" s="1"/>
      <c r="AD262" s="1"/>
      <c r="AE262" s="1"/>
      <c r="AF262" s="1"/>
      <c r="AG262" s="1"/>
    </row>
    <row r="263">
      <c r="A263" s="1"/>
      <c r="B263" s="1"/>
      <c r="C263" s="75"/>
      <c r="D263" s="1"/>
      <c r="E263" s="1"/>
      <c r="F263" s="1"/>
      <c r="G263" s="1"/>
      <c r="H263" s="1"/>
      <c r="I263" s="76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01" t="s">
        <v>618</v>
      </c>
      <c r="V263" s="91" t="s">
        <v>620</v>
      </c>
      <c r="W263" s="142">
        <v>4.0</v>
      </c>
      <c r="X263" s="142">
        <v>32.0</v>
      </c>
      <c r="Y263" s="142">
        <v>3750.0</v>
      </c>
      <c r="Z263" s="103">
        <v>0.25</v>
      </c>
      <c r="AA263" s="142" t="s">
        <v>105</v>
      </c>
      <c r="AB263" s="105">
        <v>181.59</v>
      </c>
      <c r="AC263" s="1"/>
      <c r="AD263" s="1"/>
      <c r="AE263" s="1"/>
      <c r="AF263" s="1"/>
      <c r="AG263" s="1"/>
    </row>
    <row r="264">
      <c r="A264" s="1"/>
      <c r="B264" s="1"/>
      <c r="C264" s="75"/>
      <c r="D264" s="1"/>
      <c r="E264" s="1"/>
      <c r="F264" s="1"/>
      <c r="G264" s="1"/>
      <c r="H264" s="1"/>
      <c r="I264" s="76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01" t="s">
        <v>621</v>
      </c>
      <c r="V264" s="91" t="s">
        <v>622</v>
      </c>
      <c r="W264" s="142">
        <v>8.0</v>
      </c>
      <c r="X264" s="142">
        <v>64.0</v>
      </c>
      <c r="Y264" s="142">
        <v>3750.0</v>
      </c>
      <c r="Z264" s="103">
        <v>0.5</v>
      </c>
      <c r="AA264" s="142" t="s">
        <v>601</v>
      </c>
      <c r="AB264" s="105">
        <v>363.19</v>
      </c>
      <c r="AC264" s="1"/>
      <c r="AD264" s="1"/>
      <c r="AE264" s="1"/>
      <c r="AF264" s="1"/>
      <c r="AG264" s="1"/>
    </row>
    <row r="265">
      <c r="A265" s="1"/>
      <c r="B265" s="1"/>
      <c r="C265" s="75"/>
      <c r="D265" s="1"/>
      <c r="E265" s="1"/>
      <c r="F265" s="1"/>
      <c r="G265" s="1"/>
      <c r="H265" s="1"/>
      <c r="I265" s="76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01" t="s">
        <v>618</v>
      </c>
      <c r="V265" s="91" t="s">
        <v>623</v>
      </c>
      <c r="W265" s="142">
        <v>16.0</v>
      </c>
      <c r="X265" s="142">
        <v>128.0</v>
      </c>
      <c r="Y265" s="142">
        <v>3750.0</v>
      </c>
      <c r="Z265" s="103">
        <v>1.0</v>
      </c>
      <c r="AA265" s="142" t="s">
        <v>284</v>
      </c>
      <c r="AB265" s="105">
        <v>726.43</v>
      </c>
      <c r="AC265" s="1"/>
      <c r="AD265" s="1"/>
      <c r="AE265" s="1"/>
      <c r="AF265" s="1"/>
      <c r="AG265" s="1"/>
    </row>
    <row r="266">
      <c r="A266" s="1"/>
      <c r="B266" s="1"/>
      <c r="C266" s="75"/>
      <c r="D266" s="1"/>
      <c r="E266" s="1"/>
      <c r="F266" s="1"/>
      <c r="G266" s="1"/>
      <c r="H266" s="1"/>
      <c r="I266" s="76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01" t="s">
        <v>618</v>
      </c>
      <c r="V266" s="91" t="s">
        <v>624</v>
      </c>
      <c r="W266" s="142">
        <v>32.0</v>
      </c>
      <c r="X266" s="142">
        <v>256.0</v>
      </c>
      <c r="Y266" s="142">
        <v>3750.0</v>
      </c>
      <c r="Z266" s="103">
        <v>2.0</v>
      </c>
      <c r="AA266" s="142" t="s">
        <v>284</v>
      </c>
      <c r="AB266" s="105">
        <v>1452.85</v>
      </c>
      <c r="AC266" s="1"/>
      <c r="AD266" s="1"/>
      <c r="AE266" s="1"/>
      <c r="AF266" s="1"/>
      <c r="AG266" s="1"/>
    </row>
    <row r="267">
      <c r="A267" s="1"/>
      <c r="B267" s="1"/>
      <c r="C267" s="75"/>
      <c r="D267" s="1"/>
      <c r="E267" s="1"/>
      <c r="F267" s="1"/>
      <c r="G267" s="1"/>
      <c r="H267" s="1"/>
      <c r="I267" s="76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01" t="s">
        <v>618</v>
      </c>
      <c r="V267" s="91" t="s">
        <v>625</v>
      </c>
      <c r="W267" s="142">
        <v>48.0</v>
      </c>
      <c r="X267" s="142">
        <v>384.0</v>
      </c>
      <c r="Y267" s="142">
        <v>3750.0</v>
      </c>
      <c r="Z267" s="103">
        <v>3.0</v>
      </c>
      <c r="AA267" s="142" t="s">
        <v>626</v>
      </c>
      <c r="AB267" s="105">
        <v>2179.23</v>
      </c>
      <c r="AC267" s="1"/>
      <c r="AD267" s="1"/>
      <c r="AE267" s="1"/>
      <c r="AF267" s="1"/>
      <c r="AG267" s="1"/>
    </row>
    <row r="268">
      <c r="A268" s="1"/>
      <c r="B268" s="1"/>
      <c r="C268" s="75"/>
      <c r="D268" s="1"/>
      <c r="E268" s="1"/>
      <c r="F268" s="1"/>
      <c r="G268" s="1"/>
      <c r="H268" s="1"/>
      <c r="I268" s="76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01" t="s">
        <v>618</v>
      </c>
      <c r="V268" s="91" t="s">
        <v>627</v>
      </c>
      <c r="W268" s="142">
        <v>64.0</v>
      </c>
      <c r="X268" s="142">
        <v>512.0</v>
      </c>
      <c r="Y268" s="142">
        <v>3750.0</v>
      </c>
      <c r="Z268" s="103">
        <v>4.0</v>
      </c>
      <c r="AA268" s="142" t="s">
        <v>628</v>
      </c>
      <c r="AB268" s="105">
        <v>2905.65</v>
      </c>
      <c r="AC268" s="1"/>
      <c r="AD268" s="1"/>
      <c r="AE268" s="1"/>
      <c r="AF268" s="1"/>
      <c r="AG268" s="1"/>
    </row>
    <row r="269">
      <c r="A269" s="1"/>
      <c r="B269" s="1"/>
      <c r="C269" s="75"/>
      <c r="D269" s="1"/>
      <c r="E269" s="1"/>
      <c r="F269" s="1"/>
      <c r="G269" s="1"/>
      <c r="H269" s="1"/>
      <c r="I269" s="76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01" t="s">
        <v>618</v>
      </c>
      <c r="V269" s="91" t="s">
        <v>629</v>
      </c>
      <c r="W269" s="142">
        <v>96.0</v>
      </c>
      <c r="X269" s="142">
        <v>768.0</v>
      </c>
      <c r="Y269" s="142">
        <v>3750.0</v>
      </c>
      <c r="Z269" s="103">
        <v>6.0</v>
      </c>
      <c r="AA269" s="142" t="s">
        <v>630</v>
      </c>
      <c r="AB269" s="105">
        <v>4358.5</v>
      </c>
      <c r="AC269" s="1"/>
      <c r="AD269" s="1"/>
      <c r="AE269" s="1"/>
      <c r="AF269" s="1"/>
      <c r="AG269" s="1"/>
    </row>
    <row r="270">
      <c r="A270" s="1"/>
      <c r="B270" s="1"/>
      <c r="C270" s="75"/>
      <c r="D270" s="1"/>
      <c r="E270" s="1"/>
      <c r="F270" s="1"/>
      <c r="G270" s="1"/>
      <c r="H270" s="1"/>
      <c r="I270" s="76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01" t="s">
        <v>618</v>
      </c>
      <c r="V270" s="91" t="s">
        <v>631</v>
      </c>
      <c r="W270" s="142">
        <v>192.0</v>
      </c>
      <c r="X270" s="142">
        <v>1536.0</v>
      </c>
      <c r="Y270" s="142">
        <v>3750.0</v>
      </c>
      <c r="Z270" s="103">
        <v>12.0</v>
      </c>
      <c r="AA270" s="142" t="s">
        <v>632</v>
      </c>
      <c r="AB270" s="105">
        <v>8717.01</v>
      </c>
      <c r="AC270" s="1"/>
      <c r="AD270" s="1"/>
      <c r="AE270" s="1"/>
      <c r="AF270" s="1"/>
      <c r="AG270" s="1"/>
    </row>
    <row r="271">
      <c r="A271" s="1"/>
      <c r="B271" s="1"/>
      <c r="C271" s="75"/>
      <c r="D271" s="1"/>
      <c r="E271" s="1"/>
      <c r="F271" s="1"/>
      <c r="G271" s="1"/>
      <c r="H271" s="1"/>
      <c r="I271" s="76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01" t="s">
        <v>633</v>
      </c>
      <c r="V271" s="91" t="s">
        <v>634</v>
      </c>
      <c r="W271" s="142">
        <v>2.0</v>
      </c>
      <c r="X271" s="142">
        <v>16.0</v>
      </c>
      <c r="Y271" s="142">
        <v>7500.0</v>
      </c>
      <c r="Z271" s="103">
        <f>1/6</f>
        <v>0.1666666667</v>
      </c>
      <c r="AA271" s="142" t="s">
        <v>284</v>
      </c>
      <c r="AB271" s="105">
        <v>125.02</v>
      </c>
      <c r="AC271" s="1"/>
      <c r="AD271" s="1"/>
      <c r="AE271" s="1"/>
      <c r="AF271" s="1"/>
      <c r="AG271" s="1"/>
    </row>
    <row r="272">
      <c r="A272" s="1"/>
      <c r="B272" s="1"/>
      <c r="C272" s="75"/>
      <c r="D272" s="1"/>
      <c r="E272" s="1"/>
      <c r="F272" s="1"/>
      <c r="G272" s="1"/>
      <c r="H272" s="1"/>
      <c r="I272" s="76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01" t="s">
        <v>635</v>
      </c>
      <c r="V272" s="91" t="s">
        <v>636</v>
      </c>
      <c r="W272" s="142">
        <v>4.0</v>
      </c>
      <c r="X272" s="142">
        <v>32.0</v>
      </c>
      <c r="Y272" s="142">
        <v>7500.0</v>
      </c>
      <c r="Z272" s="103">
        <f>1/3</f>
        <v>0.3333333333</v>
      </c>
      <c r="AA272" s="142" t="s">
        <v>284</v>
      </c>
      <c r="AB272" s="105">
        <v>250.05</v>
      </c>
      <c r="AC272" s="1"/>
      <c r="AD272" s="1"/>
      <c r="AE272" s="1"/>
      <c r="AF272" s="1"/>
      <c r="AG272" s="1"/>
    </row>
    <row r="273">
      <c r="A273" s="1"/>
      <c r="B273" s="1"/>
      <c r="C273" s="75"/>
      <c r="D273" s="1"/>
      <c r="E273" s="1"/>
      <c r="F273" s="1"/>
      <c r="G273" s="1"/>
      <c r="H273" s="1"/>
      <c r="I273" s="76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01" t="s">
        <v>633</v>
      </c>
      <c r="V273" s="91" t="s">
        <v>637</v>
      </c>
      <c r="W273" s="142">
        <v>8.0</v>
      </c>
      <c r="X273" s="142">
        <v>64.0</v>
      </c>
      <c r="Y273" s="142">
        <v>7500.0</v>
      </c>
      <c r="Z273" s="103">
        <f>2/3</f>
        <v>0.6666666667</v>
      </c>
      <c r="AA273" s="142" t="s">
        <v>284</v>
      </c>
      <c r="AB273" s="105">
        <v>500.09</v>
      </c>
      <c r="AC273" s="1"/>
      <c r="AD273" s="1"/>
      <c r="AE273" s="1"/>
      <c r="AF273" s="1"/>
      <c r="AG273" s="1"/>
    </row>
    <row r="274">
      <c r="A274" s="1"/>
      <c r="B274" s="1"/>
      <c r="C274" s="75"/>
      <c r="D274" s="1"/>
      <c r="E274" s="1"/>
      <c r="F274" s="1"/>
      <c r="G274" s="1"/>
      <c r="H274" s="1"/>
      <c r="I274" s="76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01" t="s">
        <v>633</v>
      </c>
      <c r="V274" s="91" t="s">
        <v>638</v>
      </c>
      <c r="W274" s="142">
        <v>12.0</v>
      </c>
      <c r="X274" s="142">
        <v>96.0</v>
      </c>
      <c r="Y274" s="142">
        <v>7500.0</v>
      </c>
      <c r="Z274" s="103">
        <v>1.0</v>
      </c>
      <c r="AA274" s="142" t="s">
        <v>284</v>
      </c>
      <c r="AB274" s="105">
        <v>750.14</v>
      </c>
      <c r="AC274" s="1"/>
      <c r="AD274" s="1"/>
      <c r="AE274" s="1"/>
      <c r="AF274" s="1"/>
      <c r="AG274" s="1"/>
    </row>
    <row r="275">
      <c r="A275" s="1"/>
      <c r="B275" s="1"/>
      <c r="C275" s="75"/>
      <c r="D275" s="1"/>
      <c r="E275" s="1"/>
      <c r="F275" s="1"/>
      <c r="G275" s="1"/>
      <c r="H275" s="1"/>
      <c r="I275" s="76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01" t="s">
        <v>633</v>
      </c>
      <c r="V275" s="91" t="s">
        <v>639</v>
      </c>
      <c r="W275" s="142">
        <v>24.0</v>
      </c>
      <c r="X275" s="142">
        <v>192.0</v>
      </c>
      <c r="Y275" s="142">
        <v>7500.0</v>
      </c>
      <c r="Z275" s="103">
        <v>2.0</v>
      </c>
      <c r="AA275" s="142" t="s">
        <v>284</v>
      </c>
      <c r="AB275" s="105">
        <v>1500.28</v>
      </c>
      <c r="AC275" s="1"/>
      <c r="AD275" s="1"/>
      <c r="AE275" s="1"/>
      <c r="AF275" s="1"/>
      <c r="AG275" s="1"/>
    </row>
    <row r="276">
      <c r="A276" s="1"/>
      <c r="B276" s="1"/>
      <c r="C276" s="75"/>
      <c r="D276" s="1"/>
      <c r="E276" s="1"/>
      <c r="F276" s="1"/>
      <c r="G276" s="1"/>
      <c r="H276" s="1"/>
      <c r="I276" s="76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01" t="s">
        <v>633</v>
      </c>
      <c r="V276" s="91" t="s">
        <v>640</v>
      </c>
      <c r="W276" s="142">
        <v>48.0</v>
      </c>
      <c r="X276" s="142">
        <v>384.0</v>
      </c>
      <c r="Y276" s="142">
        <v>7500.0</v>
      </c>
      <c r="Z276" s="103">
        <v>4.0</v>
      </c>
      <c r="AA276" s="142" t="s">
        <v>413</v>
      </c>
      <c r="AB276" s="105">
        <v>3000.56</v>
      </c>
      <c r="AC276" s="1"/>
      <c r="AD276" s="1"/>
      <c r="AE276" s="1"/>
      <c r="AF276" s="1"/>
      <c r="AG276" s="1"/>
    </row>
    <row r="277">
      <c r="A277" s="1"/>
      <c r="B277" s="1"/>
      <c r="C277" s="75"/>
      <c r="D277" s="1"/>
      <c r="E277" s="1"/>
      <c r="F277" s="1"/>
      <c r="G277" s="1"/>
      <c r="H277" s="1"/>
      <c r="I277" s="76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01" t="s">
        <v>633</v>
      </c>
      <c r="V277" s="91" t="s">
        <v>641</v>
      </c>
      <c r="W277" s="142">
        <v>72.0</v>
      </c>
      <c r="X277" s="142">
        <v>576.0</v>
      </c>
      <c r="Y277" s="142">
        <v>7500.0</v>
      </c>
      <c r="Z277" s="103">
        <v>6.0</v>
      </c>
      <c r="AA277" s="142" t="s">
        <v>642</v>
      </c>
      <c r="AB277" s="105">
        <v>4500.85</v>
      </c>
      <c r="AC277" s="1"/>
      <c r="AD277" s="1"/>
      <c r="AE277" s="1"/>
      <c r="AF277" s="1"/>
      <c r="AG277" s="1"/>
    </row>
    <row r="278">
      <c r="A278" s="1"/>
      <c r="B278" s="1"/>
      <c r="C278" s="75"/>
      <c r="D278" s="1"/>
      <c r="E278" s="1"/>
      <c r="F278" s="1"/>
      <c r="G278" s="1"/>
      <c r="H278" s="1"/>
      <c r="I278" s="76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01" t="s">
        <v>633</v>
      </c>
      <c r="V278" s="91" t="s">
        <v>643</v>
      </c>
      <c r="W278" s="142">
        <v>96.0</v>
      </c>
      <c r="X278" s="142">
        <v>768.0</v>
      </c>
      <c r="Y278" s="142">
        <v>7500.0</v>
      </c>
      <c r="Z278" s="103">
        <v>8.0</v>
      </c>
      <c r="AA278" s="142" t="s">
        <v>632</v>
      </c>
      <c r="AB278" s="105">
        <v>6001.13</v>
      </c>
      <c r="AC278" s="1"/>
      <c r="AD278" s="1"/>
      <c r="AE278" s="1"/>
      <c r="AF278" s="1"/>
      <c r="AG278" s="1"/>
    </row>
    <row r="279">
      <c r="A279" s="1"/>
      <c r="B279" s="1"/>
      <c r="C279" s="75"/>
      <c r="D279" s="1"/>
      <c r="E279" s="1"/>
      <c r="F279" s="1"/>
      <c r="G279" s="1"/>
      <c r="H279" s="1"/>
      <c r="I279" s="76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01" t="s">
        <v>633</v>
      </c>
      <c r="V279" s="91" t="s">
        <v>644</v>
      </c>
      <c r="W279" s="142">
        <v>192.0</v>
      </c>
      <c r="X279" s="142">
        <v>1536.0</v>
      </c>
      <c r="Y279" s="142">
        <v>7500.0</v>
      </c>
      <c r="Z279" s="103">
        <v>16.0</v>
      </c>
      <c r="AA279" s="142" t="s">
        <v>296</v>
      </c>
      <c r="AB279" s="105">
        <v>12002.25</v>
      </c>
      <c r="AC279" s="1"/>
      <c r="AD279" s="1"/>
      <c r="AE279" s="1"/>
      <c r="AF279" s="1"/>
      <c r="AG279" s="1"/>
    </row>
    <row r="280">
      <c r="A280" s="1"/>
      <c r="B280" s="1"/>
      <c r="C280" s="75"/>
      <c r="D280" s="1"/>
      <c r="E280" s="1"/>
      <c r="F280" s="1"/>
      <c r="G280" s="1"/>
      <c r="H280" s="1"/>
      <c r="I280" s="76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01" t="s">
        <v>645</v>
      </c>
      <c r="V280" s="91" t="s">
        <v>646</v>
      </c>
      <c r="W280" s="142">
        <v>2.0</v>
      </c>
      <c r="X280" s="142">
        <v>16.0</v>
      </c>
      <c r="Y280" s="142">
        <v>3750.0</v>
      </c>
      <c r="Z280" s="103">
        <v>0.125</v>
      </c>
      <c r="AA280" s="142" t="s">
        <v>105</v>
      </c>
      <c r="AB280" s="105">
        <v>82.55</v>
      </c>
      <c r="AC280" s="1"/>
      <c r="AD280" s="1"/>
      <c r="AE280" s="1"/>
      <c r="AF280" s="1"/>
      <c r="AG280" s="1"/>
    </row>
    <row r="281">
      <c r="A281" s="1"/>
      <c r="B281" s="1"/>
      <c r="C281" s="75"/>
      <c r="D281" s="1"/>
      <c r="E281" s="1"/>
      <c r="F281" s="1"/>
      <c r="G281" s="1"/>
      <c r="H281" s="1"/>
      <c r="I281" s="76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01" t="s">
        <v>645</v>
      </c>
      <c r="V281" s="91" t="s">
        <v>647</v>
      </c>
      <c r="W281" s="142">
        <v>4.0</v>
      </c>
      <c r="X281" s="142">
        <v>32.0</v>
      </c>
      <c r="Y281" s="142">
        <v>3750.0</v>
      </c>
      <c r="Z281" s="103">
        <v>0.25</v>
      </c>
      <c r="AA281" s="142" t="s">
        <v>105</v>
      </c>
      <c r="AB281" s="105">
        <v>165.09</v>
      </c>
      <c r="AC281" s="1"/>
      <c r="AD281" s="1"/>
      <c r="AE281" s="1"/>
      <c r="AF281" s="1"/>
      <c r="AG281" s="1"/>
    </row>
    <row r="282">
      <c r="A282" s="1"/>
      <c r="B282" s="1"/>
      <c r="C282" s="75"/>
      <c r="D282" s="1"/>
      <c r="E282" s="1"/>
      <c r="F282" s="1"/>
      <c r="G282" s="1"/>
      <c r="H282" s="1"/>
      <c r="I282" s="76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01" t="s">
        <v>648</v>
      </c>
      <c r="V282" s="91" t="s">
        <v>649</v>
      </c>
      <c r="W282" s="142">
        <v>8.0</v>
      </c>
      <c r="X282" s="142">
        <v>64.0</v>
      </c>
      <c r="Y282" s="142">
        <v>3750.0</v>
      </c>
      <c r="Z282" s="103">
        <v>0.5</v>
      </c>
      <c r="AA282" s="142" t="s">
        <v>601</v>
      </c>
      <c r="AB282" s="105">
        <v>330.19</v>
      </c>
      <c r="AC282" s="1"/>
      <c r="AD282" s="1"/>
      <c r="AE282" s="1"/>
      <c r="AF282" s="1"/>
      <c r="AG282" s="1"/>
    </row>
    <row r="283">
      <c r="A283" s="1"/>
      <c r="B283" s="1"/>
      <c r="C283" s="75"/>
      <c r="D283" s="1"/>
      <c r="E283" s="1"/>
      <c r="F283" s="1"/>
      <c r="G283" s="1"/>
      <c r="H283" s="1"/>
      <c r="I283" s="76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01" t="s">
        <v>645</v>
      </c>
      <c r="V283" s="91" t="s">
        <v>650</v>
      </c>
      <c r="W283" s="142">
        <v>16.0</v>
      </c>
      <c r="X283" s="142">
        <v>128.0</v>
      </c>
      <c r="Y283" s="142">
        <v>3750.0</v>
      </c>
      <c r="Z283" s="103">
        <v>1.0</v>
      </c>
      <c r="AA283" s="142" t="s">
        <v>284</v>
      </c>
      <c r="AB283" s="105">
        <v>660.38</v>
      </c>
      <c r="AC283" s="1"/>
      <c r="AD283" s="1"/>
      <c r="AE283" s="1"/>
      <c r="AF283" s="1"/>
      <c r="AG283" s="1"/>
    </row>
    <row r="284">
      <c r="A284" s="1"/>
      <c r="B284" s="1"/>
      <c r="C284" s="75"/>
      <c r="D284" s="1"/>
      <c r="E284" s="1"/>
      <c r="F284" s="1"/>
      <c r="G284" s="1"/>
      <c r="H284" s="1"/>
      <c r="I284" s="76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01" t="s">
        <v>645</v>
      </c>
      <c r="V284" s="91" t="s">
        <v>651</v>
      </c>
      <c r="W284" s="142">
        <v>32.0</v>
      </c>
      <c r="X284" s="142">
        <v>256.0</v>
      </c>
      <c r="Y284" s="142">
        <v>3750.0</v>
      </c>
      <c r="Z284" s="103">
        <v>2.0</v>
      </c>
      <c r="AA284" s="142" t="s">
        <v>284</v>
      </c>
      <c r="AB284" s="105">
        <v>1320.76</v>
      </c>
      <c r="AC284" s="1"/>
      <c r="AD284" s="1"/>
      <c r="AE284" s="1"/>
      <c r="AF284" s="1"/>
      <c r="AG284" s="1"/>
    </row>
    <row r="285">
      <c r="A285" s="1"/>
      <c r="B285" s="1"/>
      <c r="C285" s="75"/>
      <c r="D285" s="1"/>
      <c r="E285" s="1"/>
      <c r="F285" s="1"/>
      <c r="G285" s="1"/>
      <c r="H285" s="1"/>
      <c r="I285" s="76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01" t="s">
        <v>645</v>
      </c>
      <c r="V285" s="91" t="s">
        <v>652</v>
      </c>
      <c r="W285" s="142">
        <v>48.0</v>
      </c>
      <c r="X285" s="142">
        <v>384.0</v>
      </c>
      <c r="Y285" s="142">
        <v>3750.0</v>
      </c>
      <c r="Z285" s="103">
        <v>3.0</v>
      </c>
      <c r="AA285" s="142" t="s">
        <v>653</v>
      </c>
      <c r="AB285" s="105">
        <v>1981.13</v>
      </c>
      <c r="AC285" s="1"/>
      <c r="AD285" s="1"/>
      <c r="AE285" s="1"/>
      <c r="AF285" s="1"/>
      <c r="AG285" s="1"/>
    </row>
    <row r="286">
      <c r="A286" s="1"/>
      <c r="B286" s="1"/>
      <c r="C286" s="75"/>
      <c r="D286" s="1"/>
      <c r="E286" s="1"/>
      <c r="F286" s="1"/>
      <c r="G286" s="1"/>
      <c r="H286" s="1"/>
      <c r="I286" s="76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01" t="s">
        <v>645</v>
      </c>
      <c r="V286" s="91" t="s">
        <v>654</v>
      </c>
      <c r="W286" s="142">
        <v>64.0</v>
      </c>
      <c r="X286" s="142">
        <v>512.0</v>
      </c>
      <c r="Y286" s="142">
        <v>3750.0</v>
      </c>
      <c r="Z286" s="103">
        <v>4.0</v>
      </c>
      <c r="AA286" s="142" t="s">
        <v>628</v>
      </c>
      <c r="AB286" s="105">
        <v>2641.51</v>
      </c>
      <c r="AC286" s="1"/>
      <c r="AD286" s="1"/>
      <c r="AE286" s="1"/>
      <c r="AF286" s="1"/>
      <c r="AG286" s="1"/>
    </row>
    <row r="287">
      <c r="A287" s="1"/>
      <c r="B287" s="1"/>
      <c r="C287" s="75"/>
      <c r="D287" s="1"/>
      <c r="E287" s="1"/>
      <c r="F287" s="1"/>
      <c r="G287" s="1"/>
      <c r="H287" s="1"/>
      <c r="I287" s="76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01" t="s">
        <v>645</v>
      </c>
      <c r="V287" s="91" t="s">
        <v>655</v>
      </c>
      <c r="W287" s="142">
        <v>96.0</v>
      </c>
      <c r="X287" s="142">
        <v>768.0</v>
      </c>
      <c r="Y287" s="142">
        <v>3750.0</v>
      </c>
      <c r="Z287" s="103">
        <v>6.0</v>
      </c>
      <c r="AA287" s="142" t="s">
        <v>630</v>
      </c>
      <c r="AB287" s="105">
        <v>3962.27</v>
      </c>
      <c r="AC287" s="1"/>
      <c r="AD287" s="1"/>
      <c r="AE287" s="1"/>
      <c r="AF287" s="1"/>
      <c r="AG287" s="1"/>
    </row>
    <row r="288">
      <c r="A288" s="1"/>
      <c r="B288" s="1"/>
      <c r="C288" s="75"/>
      <c r="D288" s="1"/>
      <c r="E288" s="1"/>
      <c r="F288" s="1"/>
      <c r="G288" s="1"/>
      <c r="H288" s="1"/>
      <c r="I288" s="76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01" t="s">
        <v>645</v>
      </c>
      <c r="V288" s="91" t="s">
        <v>656</v>
      </c>
      <c r="W288" s="142">
        <v>192.0</v>
      </c>
      <c r="X288" s="142">
        <v>1536.0</v>
      </c>
      <c r="Y288" s="142">
        <v>3750.0</v>
      </c>
      <c r="Z288" s="103">
        <v>12.0</v>
      </c>
      <c r="AA288" s="142" t="s">
        <v>632</v>
      </c>
      <c r="AB288" s="105">
        <v>7924.54</v>
      </c>
      <c r="AC288" s="1"/>
      <c r="AD288" s="1"/>
      <c r="AE288" s="1"/>
      <c r="AF288" s="1"/>
      <c r="AG288" s="1"/>
    </row>
    <row r="289">
      <c r="A289" s="1"/>
      <c r="B289" s="1"/>
      <c r="C289" s="75"/>
      <c r="D289" s="1"/>
      <c r="E289" s="1"/>
      <c r="F289" s="1"/>
      <c r="G289" s="1"/>
      <c r="H289" s="1"/>
      <c r="I289" s="76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01" t="s">
        <v>657</v>
      </c>
      <c r="V289" s="91" t="s">
        <v>658</v>
      </c>
      <c r="W289" s="142">
        <v>2.0</v>
      </c>
      <c r="X289" s="142">
        <v>8.0</v>
      </c>
      <c r="Y289" s="142">
        <v>7500.0</v>
      </c>
      <c r="Z289" s="103">
        <v>0.125</v>
      </c>
      <c r="AA289" s="142" t="s">
        <v>284</v>
      </c>
      <c r="AB289" s="105">
        <v>85.15</v>
      </c>
      <c r="AC289" s="1"/>
      <c r="AD289" s="1"/>
      <c r="AE289" s="1"/>
      <c r="AF289" s="1"/>
      <c r="AG289" s="1"/>
    </row>
    <row r="290">
      <c r="A290" s="1"/>
      <c r="B290" s="1"/>
      <c r="C290" s="75"/>
      <c r="D290" s="1"/>
      <c r="E290" s="1"/>
      <c r="F290" s="1"/>
      <c r="G290" s="1"/>
      <c r="H290" s="1"/>
      <c r="I290" s="76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01" t="s">
        <v>659</v>
      </c>
      <c r="V290" s="91" t="s">
        <v>660</v>
      </c>
      <c r="W290" s="142">
        <v>4.0</v>
      </c>
      <c r="X290" s="142">
        <v>16.0</v>
      </c>
      <c r="Y290" s="142">
        <v>7500.0</v>
      </c>
      <c r="Z290" s="103">
        <v>0.25</v>
      </c>
      <c r="AA290" s="142" t="s">
        <v>284</v>
      </c>
      <c r="AB290" s="105">
        <v>170.32</v>
      </c>
      <c r="AC290" s="1"/>
      <c r="AD290" s="1"/>
      <c r="AE290" s="1"/>
      <c r="AF290" s="1"/>
      <c r="AG290" s="1"/>
    </row>
    <row r="291">
      <c r="A291" s="1"/>
      <c r="B291" s="1"/>
      <c r="C291" s="75"/>
      <c r="D291" s="1"/>
      <c r="E291" s="1"/>
      <c r="F291" s="1"/>
      <c r="G291" s="1"/>
      <c r="H291" s="1"/>
      <c r="I291" s="76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01" t="s">
        <v>657</v>
      </c>
      <c r="V291" s="91" t="s">
        <v>661</v>
      </c>
      <c r="W291" s="142">
        <v>8.0</v>
      </c>
      <c r="X291" s="142">
        <v>32.0</v>
      </c>
      <c r="Y291" s="142">
        <v>7500.0</v>
      </c>
      <c r="Z291" s="103">
        <v>0.5</v>
      </c>
      <c r="AA291" s="142" t="s">
        <v>284</v>
      </c>
      <c r="AB291" s="105">
        <v>340.63</v>
      </c>
      <c r="AC291" s="1"/>
      <c r="AD291" s="1"/>
      <c r="AE291" s="1"/>
      <c r="AF291" s="1"/>
      <c r="AG291" s="1"/>
    </row>
    <row r="292">
      <c r="A292" s="1"/>
      <c r="B292" s="1"/>
      <c r="C292" s="75"/>
      <c r="D292" s="1"/>
      <c r="E292" s="1"/>
      <c r="F292" s="1"/>
      <c r="G292" s="1"/>
      <c r="H292" s="1"/>
      <c r="I292" s="76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01" t="s">
        <v>657</v>
      </c>
      <c r="V292" s="91" t="s">
        <v>662</v>
      </c>
      <c r="W292" s="142">
        <v>16.0</v>
      </c>
      <c r="X292" s="142">
        <v>64.0</v>
      </c>
      <c r="Y292" s="142">
        <v>7500.0</v>
      </c>
      <c r="Z292" s="103">
        <v>1.0</v>
      </c>
      <c r="AA292" s="142" t="s">
        <v>208</v>
      </c>
      <c r="AB292" s="105">
        <v>681.27</v>
      </c>
      <c r="AC292" s="1"/>
      <c r="AD292" s="1"/>
      <c r="AE292" s="1"/>
      <c r="AF292" s="1"/>
      <c r="AG292" s="1"/>
    </row>
    <row r="293">
      <c r="A293" s="1"/>
      <c r="B293" s="1"/>
      <c r="C293" s="75"/>
      <c r="D293" s="1"/>
      <c r="E293" s="1"/>
      <c r="F293" s="1"/>
      <c r="G293" s="1"/>
      <c r="H293" s="1"/>
      <c r="I293" s="76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01" t="s">
        <v>657</v>
      </c>
      <c r="V293" s="91" t="s">
        <v>663</v>
      </c>
      <c r="W293" s="142">
        <v>32.0</v>
      </c>
      <c r="X293" s="142">
        <v>128.0</v>
      </c>
      <c r="Y293" s="142">
        <v>7500.0</v>
      </c>
      <c r="Z293" s="103">
        <v>2.0</v>
      </c>
      <c r="AA293" s="142" t="s">
        <v>294</v>
      </c>
      <c r="AB293" s="105">
        <v>1362.53</v>
      </c>
      <c r="AC293" s="1"/>
      <c r="AD293" s="1"/>
      <c r="AE293" s="1"/>
      <c r="AF293" s="1"/>
      <c r="AG293" s="1"/>
    </row>
    <row r="294">
      <c r="A294" s="1"/>
      <c r="B294" s="1"/>
      <c r="C294" s="75"/>
      <c r="D294" s="1"/>
      <c r="E294" s="1"/>
      <c r="F294" s="1"/>
      <c r="G294" s="1"/>
      <c r="H294" s="1"/>
      <c r="I294" s="76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01" t="s">
        <v>657</v>
      </c>
      <c r="V294" s="91" t="s">
        <v>664</v>
      </c>
      <c r="W294" s="142">
        <v>64.0</v>
      </c>
      <c r="X294" s="142">
        <v>256.0</v>
      </c>
      <c r="Y294" s="142">
        <v>7500.0</v>
      </c>
      <c r="Z294" s="103">
        <v>4.0</v>
      </c>
      <c r="AA294" s="142" t="s">
        <v>296</v>
      </c>
      <c r="AB294" s="105">
        <v>2725.06</v>
      </c>
      <c r="AC294" s="1"/>
      <c r="AD294" s="1"/>
      <c r="AE294" s="1"/>
      <c r="AF294" s="1"/>
      <c r="AG294" s="1"/>
    </row>
    <row r="295">
      <c r="A295" s="1"/>
      <c r="B295" s="1"/>
      <c r="C295" s="75"/>
      <c r="D295" s="1"/>
      <c r="E295" s="1"/>
      <c r="F295" s="1"/>
      <c r="G295" s="1"/>
      <c r="H295" s="1"/>
      <c r="I295" s="76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01" t="s">
        <v>665</v>
      </c>
      <c r="V295" s="91" t="s">
        <v>666</v>
      </c>
      <c r="W295" s="142">
        <v>4.0</v>
      </c>
      <c r="X295" s="142">
        <v>8.0</v>
      </c>
      <c r="Y295" s="142">
        <v>0.0</v>
      </c>
      <c r="Z295" s="103">
        <v>0.0</v>
      </c>
      <c r="AA295" s="142" t="s">
        <v>284</v>
      </c>
      <c r="AB295" s="105">
        <v>105.12</v>
      </c>
      <c r="AC295" s="1"/>
      <c r="AD295" s="1"/>
      <c r="AE295" s="1"/>
      <c r="AF295" s="1"/>
      <c r="AG295" s="1"/>
    </row>
    <row r="296">
      <c r="A296" s="1"/>
      <c r="B296" s="1"/>
      <c r="C296" s="75"/>
      <c r="D296" s="1"/>
      <c r="E296" s="1"/>
      <c r="F296" s="1"/>
      <c r="G296" s="1"/>
      <c r="H296" s="1"/>
      <c r="I296" s="76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01" t="s">
        <v>667</v>
      </c>
      <c r="V296" s="91" t="s">
        <v>668</v>
      </c>
      <c r="W296" s="142">
        <v>8.0</v>
      </c>
      <c r="X296" s="142">
        <v>16.0</v>
      </c>
      <c r="Y296" s="142">
        <v>0.0</v>
      </c>
      <c r="Z296" s="103">
        <v>0.0</v>
      </c>
      <c r="AA296" s="142" t="s">
        <v>284</v>
      </c>
      <c r="AB296" s="105">
        <v>166.44</v>
      </c>
      <c r="AC296" s="1"/>
      <c r="AD296" s="1"/>
      <c r="AE296" s="1"/>
      <c r="AF296" s="1"/>
      <c r="AG296" s="1"/>
    </row>
    <row r="297">
      <c r="A297" s="1"/>
      <c r="B297" s="1"/>
      <c r="C297" s="75"/>
      <c r="D297" s="1"/>
      <c r="E297" s="1"/>
      <c r="F297" s="1"/>
      <c r="G297" s="1"/>
      <c r="H297" s="1"/>
      <c r="I297" s="76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01" t="s">
        <v>667</v>
      </c>
      <c r="V297" s="91" t="s">
        <v>669</v>
      </c>
      <c r="W297" s="142">
        <v>24.0</v>
      </c>
      <c r="X297" s="142">
        <v>48.0</v>
      </c>
      <c r="Y297" s="142">
        <v>0.0</v>
      </c>
      <c r="Z297" s="103">
        <v>0.0</v>
      </c>
      <c r="AA297" s="142" t="s">
        <v>208</v>
      </c>
      <c r="AB297" s="105">
        <v>543.12</v>
      </c>
      <c r="AC297" s="1"/>
      <c r="AD297" s="1"/>
      <c r="AE297" s="1"/>
      <c r="AF297" s="1"/>
      <c r="AG297" s="1"/>
    </row>
    <row r="298">
      <c r="A298" s="1"/>
      <c r="B298" s="1"/>
      <c r="C298" s="75"/>
      <c r="D298" s="1"/>
      <c r="E298" s="1"/>
      <c r="F298" s="1"/>
      <c r="G298" s="1"/>
      <c r="H298" s="1"/>
      <c r="I298" s="76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01" t="s">
        <v>667</v>
      </c>
      <c r="V298" s="91" t="s">
        <v>670</v>
      </c>
      <c r="W298" s="142">
        <v>96.0</v>
      </c>
      <c r="X298" s="142">
        <v>192.0</v>
      </c>
      <c r="Y298" s="142">
        <v>0.0</v>
      </c>
      <c r="Z298" s="103">
        <v>0.0</v>
      </c>
      <c r="AA298" s="142" t="s">
        <v>296</v>
      </c>
      <c r="AB298" s="105">
        <v>2171.02</v>
      </c>
      <c r="AC298" s="1"/>
      <c r="AD298" s="1"/>
      <c r="AE298" s="1"/>
      <c r="AF298" s="1"/>
      <c r="AG298" s="1"/>
    </row>
    <row r="299">
      <c r="A299" s="1"/>
      <c r="B299" s="1"/>
      <c r="C299" s="75"/>
      <c r="D299" s="1"/>
      <c r="E299" s="1"/>
      <c r="F299" s="1"/>
      <c r="G299" s="1"/>
      <c r="H299" s="1"/>
      <c r="I299" s="76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01" t="s">
        <v>671</v>
      </c>
      <c r="V299" s="91" t="s">
        <v>672</v>
      </c>
      <c r="W299" s="142">
        <v>4.0</v>
      </c>
      <c r="X299" s="142">
        <v>16.0</v>
      </c>
      <c r="Y299" s="142">
        <v>0.0</v>
      </c>
      <c r="Z299" s="103">
        <v>0.0</v>
      </c>
      <c r="AA299" s="142" t="s">
        <v>441</v>
      </c>
      <c r="AB299" s="105">
        <v>348.7</v>
      </c>
      <c r="AC299" s="1"/>
      <c r="AD299" s="1"/>
      <c r="AE299" s="1"/>
      <c r="AF299" s="1"/>
      <c r="AG299" s="1"/>
    </row>
    <row r="300">
      <c r="A300" s="1"/>
      <c r="B300" s="1"/>
      <c r="C300" s="75"/>
      <c r="D300" s="1"/>
      <c r="E300" s="1"/>
      <c r="F300" s="1"/>
      <c r="G300" s="1"/>
      <c r="H300" s="1"/>
      <c r="I300" s="76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01" t="s">
        <v>673</v>
      </c>
      <c r="V300" s="91" t="s">
        <v>674</v>
      </c>
      <c r="W300" s="142">
        <v>32.0</v>
      </c>
      <c r="X300" s="142">
        <v>128.0</v>
      </c>
      <c r="Y300" s="142">
        <v>0.0</v>
      </c>
      <c r="Z300" s="103">
        <v>0.0</v>
      </c>
      <c r="AA300" s="142" t="s">
        <v>284</v>
      </c>
      <c r="AB300" s="105">
        <v>905.02</v>
      </c>
      <c r="AC300" s="1"/>
      <c r="AD300" s="1"/>
      <c r="AE300" s="1"/>
      <c r="AF300" s="1"/>
      <c r="AG300" s="1"/>
    </row>
    <row r="301">
      <c r="A301" s="1"/>
      <c r="B301" s="1"/>
      <c r="C301" s="75"/>
      <c r="D301" s="1"/>
      <c r="E301" s="1"/>
      <c r="F301" s="1"/>
      <c r="G301" s="1"/>
      <c r="H301" s="1"/>
      <c r="I301" s="76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01" t="s">
        <v>673</v>
      </c>
      <c r="V301" s="91" t="s">
        <v>675</v>
      </c>
      <c r="W301" s="142">
        <v>96.0</v>
      </c>
      <c r="X301" s="142">
        <v>384.0</v>
      </c>
      <c r="Y301" s="142">
        <v>0.0</v>
      </c>
      <c r="Z301" s="103">
        <v>0.0</v>
      </c>
      <c r="AA301" s="142" t="s">
        <v>294</v>
      </c>
      <c r="AB301" s="105">
        <v>2985.04</v>
      </c>
      <c r="AC301" s="1"/>
      <c r="AD301" s="1"/>
      <c r="AE301" s="1"/>
      <c r="AF301" s="1"/>
      <c r="AG301" s="1"/>
    </row>
    <row r="302">
      <c r="A302" s="1"/>
      <c r="B302" s="1"/>
      <c r="C302" s="75"/>
      <c r="D302" s="1"/>
      <c r="E302" s="1"/>
      <c r="F302" s="1"/>
      <c r="G302" s="1"/>
      <c r="H302" s="1"/>
      <c r="I302" s="76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01" t="s">
        <v>673</v>
      </c>
      <c r="V302" s="91" t="s">
        <v>676</v>
      </c>
      <c r="W302" s="142">
        <v>192.0</v>
      </c>
      <c r="X302" s="142">
        <v>768.0</v>
      </c>
      <c r="Y302" s="142">
        <v>0.0</v>
      </c>
      <c r="Z302" s="103">
        <v>0.0</v>
      </c>
      <c r="AA302" s="142" t="s">
        <v>296</v>
      </c>
      <c r="AB302" s="105">
        <v>5970.09</v>
      </c>
      <c r="AC302" s="1"/>
      <c r="AD302" s="1"/>
      <c r="AE302" s="1"/>
      <c r="AF302" s="1"/>
      <c r="AG302" s="1"/>
    </row>
    <row r="303">
      <c r="A303" s="1"/>
      <c r="B303" s="1"/>
      <c r="C303" s="75"/>
      <c r="D303" s="1"/>
      <c r="E303" s="1"/>
      <c r="F303" s="1"/>
      <c r="G303" s="1"/>
      <c r="H303" s="1"/>
      <c r="I303" s="76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01" t="s">
        <v>677</v>
      </c>
      <c r="V303" s="91" t="s">
        <v>678</v>
      </c>
      <c r="W303" s="142">
        <v>1.0</v>
      </c>
      <c r="X303" s="142">
        <v>6.0</v>
      </c>
      <c r="Y303" s="142">
        <v>7500.0</v>
      </c>
      <c r="Z303" s="103">
        <v>0.125</v>
      </c>
      <c r="AA303" s="142" t="s">
        <v>284</v>
      </c>
      <c r="AB303" s="105">
        <v>71.73</v>
      </c>
      <c r="AC303" s="1"/>
      <c r="AD303" s="1"/>
      <c r="AE303" s="1"/>
      <c r="AF303" s="1"/>
      <c r="AG303" s="1"/>
    </row>
    <row r="304">
      <c r="A304" s="1"/>
      <c r="B304" s="1"/>
      <c r="C304" s="75"/>
      <c r="D304" s="1"/>
      <c r="E304" s="1"/>
      <c r="F304" s="1"/>
      <c r="G304" s="1"/>
      <c r="H304" s="1"/>
      <c r="I304" s="76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01" t="s">
        <v>677</v>
      </c>
      <c r="V304" s="91" t="s">
        <v>679</v>
      </c>
      <c r="W304" s="142">
        <v>2.0</v>
      </c>
      <c r="X304" s="142">
        <v>12.0</v>
      </c>
      <c r="Y304" s="142">
        <v>7500.0</v>
      </c>
      <c r="Z304" s="103">
        <v>0.25</v>
      </c>
      <c r="AA304" s="142" t="s">
        <v>284</v>
      </c>
      <c r="AB304" s="105">
        <v>143.47</v>
      </c>
      <c r="AC304" s="1"/>
      <c r="AD304" s="1"/>
      <c r="AE304" s="1"/>
      <c r="AF304" s="1"/>
      <c r="AG304" s="1"/>
    </row>
    <row r="305">
      <c r="A305" s="1"/>
      <c r="B305" s="1"/>
      <c r="C305" s="75"/>
      <c r="D305" s="1"/>
      <c r="E305" s="1"/>
      <c r="F305" s="1"/>
      <c r="G305" s="1"/>
      <c r="H305" s="1"/>
      <c r="I305" s="76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01" t="s">
        <v>680</v>
      </c>
      <c r="V305" s="91" t="s">
        <v>681</v>
      </c>
      <c r="W305" s="142">
        <v>4.0</v>
      </c>
      <c r="X305" s="142">
        <v>24.0</v>
      </c>
      <c r="Y305" s="142">
        <v>7500.0</v>
      </c>
      <c r="Z305" s="103">
        <v>0.5</v>
      </c>
      <c r="AA305" s="142" t="s">
        <v>284</v>
      </c>
      <c r="AB305" s="105">
        <v>286.93</v>
      </c>
      <c r="AC305" s="1"/>
      <c r="AD305" s="1"/>
      <c r="AE305" s="1"/>
      <c r="AF305" s="1"/>
      <c r="AG305" s="1"/>
    </row>
    <row r="306">
      <c r="A306" s="1"/>
      <c r="B306" s="1"/>
      <c r="C306" s="75"/>
      <c r="D306" s="1"/>
      <c r="E306" s="1"/>
      <c r="F306" s="1"/>
      <c r="G306" s="1"/>
      <c r="H306" s="1"/>
      <c r="I306" s="76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01" t="s">
        <v>677</v>
      </c>
      <c r="V306" s="91" t="s">
        <v>682</v>
      </c>
      <c r="W306" s="142">
        <v>8.0</v>
      </c>
      <c r="X306" s="142">
        <v>48.0</v>
      </c>
      <c r="Y306" s="142">
        <v>7500.0</v>
      </c>
      <c r="Z306" s="103">
        <v>1.0</v>
      </c>
      <c r="AA306" s="142" t="s">
        <v>284</v>
      </c>
      <c r="AB306" s="105">
        <v>573.86</v>
      </c>
      <c r="AC306" s="1"/>
      <c r="AD306" s="1"/>
      <c r="AE306" s="1"/>
      <c r="AF306" s="1"/>
      <c r="AG306" s="1"/>
    </row>
    <row r="307">
      <c r="A307" s="1"/>
      <c r="B307" s="1"/>
      <c r="C307" s="75"/>
      <c r="D307" s="1"/>
      <c r="E307" s="1"/>
      <c r="F307" s="1"/>
      <c r="G307" s="1"/>
      <c r="H307" s="1"/>
      <c r="I307" s="76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01" t="s">
        <v>677</v>
      </c>
      <c r="V307" s="91" t="s">
        <v>683</v>
      </c>
      <c r="W307" s="142">
        <v>16.0</v>
      </c>
      <c r="X307" s="142">
        <v>96.0</v>
      </c>
      <c r="Y307" s="142">
        <v>7500.0</v>
      </c>
      <c r="Z307" s="103">
        <v>2.0</v>
      </c>
      <c r="AA307" s="142" t="s">
        <v>208</v>
      </c>
      <c r="AB307" s="105">
        <v>1147.73</v>
      </c>
      <c r="AC307" s="1"/>
      <c r="AD307" s="1"/>
      <c r="AE307" s="1"/>
      <c r="AF307" s="1"/>
      <c r="AG307" s="1"/>
    </row>
    <row r="308">
      <c r="A308" s="1"/>
      <c r="B308" s="1"/>
      <c r="C308" s="75"/>
      <c r="D308" s="1"/>
      <c r="E308" s="1"/>
      <c r="F308" s="1"/>
      <c r="G308" s="1"/>
      <c r="H308" s="1"/>
      <c r="I308" s="76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01" t="s">
        <v>677</v>
      </c>
      <c r="V308" s="91" t="s">
        <v>684</v>
      </c>
      <c r="W308" s="142">
        <v>32.0</v>
      </c>
      <c r="X308" s="142">
        <v>192.0</v>
      </c>
      <c r="Y308" s="142">
        <v>7500.0</v>
      </c>
      <c r="Z308" s="103">
        <v>4.0</v>
      </c>
      <c r="AA308" s="142" t="s">
        <v>294</v>
      </c>
      <c r="AB308" s="105">
        <v>2295.46</v>
      </c>
      <c r="AC308" s="1"/>
      <c r="AD308" s="1"/>
      <c r="AE308" s="1"/>
      <c r="AF308" s="1"/>
      <c r="AG308" s="1"/>
    </row>
    <row r="309">
      <c r="A309" s="1"/>
      <c r="B309" s="1"/>
      <c r="C309" s="75"/>
      <c r="D309" s="1"/>
      <c r="E309" s="1"/>
      <c r="F309" s="1"/>
      <c r="G309" s="1"/>
      <c r="H309" s="1"/>
      <c r="I309" s="76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01" t="s">
        <v>685</v>
      </c>
      <c r="V309" s="91" t="s">
        <v>138</v>
      </c>
      <c r="W309" s="142">
        <v>1.0</v>
      </c>
      <c r="X309" s="142">
        <v>3.75</v>
      </c>
      <c r="Y309" s="142">
        <v>80.0</v>
      </c>
      <c r="Z309" s="103">
        <f>4/80</f>
        <v>0.05</v>
      </c>
      <c r="AA309" s="142" t="s">
        <v>136</v>
      </c>
      <c r="AB309" s="105">
        <v>35.04</v>
      </c>
      <c r="AC309" s="1"/>
      <c r="AD309" s="1"/>
      <c r="AE309" s="1"/>
      <c r="AF309" s="1"/>
      <c r="AG309" s="1"/>
    </row>
    <row r="310">
      <c r="A310" s="1"/>
      <c r="B310" s="1"/>
      <c r="C310" s="75"/>
      <c r="D310" s="1"/>
      <c r="E310" s="1"/>
      <c r="F310" s="1"/>
      <c r="G310" s="1"/>
      <c r="H310" s="1"/>
      <c r="I310" s="76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01" t="s">
        <v>685</v>
      </c>
      <c r="V310" s="91" t="s">
        <v>686</v>
      </c>
      <c r="W310" s="142">
        <v>2.0</v>
      </c>
      <c r="X310" s="142">
        <v>7.5</v>
      </c>
      <c r="Y310" s="142">
        <v>80.0</v>
      </c>
      <c r="Z310" s="103">
        <f>32/80</f>
        <v>0.4</v>
      </c>
      <c r="AA310" s="142" t="s">
        <v>136</v>
      </c>
      <c r="AB310" s="105">
        <v>69.35</v>
      </c>
      <c r="AC310" s="1"/>
      <c r="AD310" s="1"/>
      <c r="AE310" s="1"/>
      <c r="AF310" s="1"/>
      <c r="AG310" s="1"/>
    </row>
    <row r="311">
      <c r="A311" s="1"/>
      <c r="B311" s="1"/>
      <c r="C311" s="75"/>
      <c r="D311" s="1"/>
      <c r="E311" s="1"/>
      <c r="F311" s="1"/>
      <c r="G311" s="1"/>
      <c r="H311" s="1"/>
      <c r="I311" s="76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01" t="s">
        <v>687</v>
      </c>
      <c r="V311" s="91" t="s">
        <v>688</v>
      </c>
      <c r="W311" s="142">
        <v>4.0</v>
      </c>
      <c r="X311" s="142">
        <v>15.0</v>
      </c>
      <c r="Y311" s="142">
        <v>80.0</v>
      </c>
      <c r="Z311" s="103">
        <v>1.0</v>
      </c>
      <c r="AA311" s="142" t="s">
        <v>147</v>
      </c>
      <c r="AB311" s="105">
        <v>138.7</v>
      </c>
      <c r="AC311" s="1"/>
      <c r="AD311" s="1"/>
      <c r="AE311" s="1"/>
      <c r="AF311" s="1"/>
      <c r="AG311" s="1"/>
    </row>
    <row r="312">
      <c r="A312" s="1"/>
      <c r="B312" s="1"/>
      <c r="C312" s="75"/>
      <c r="D312" s="1"/>
      <c r="E312" s="1"/>
      <c r="F312" s="1"/>
      <c r="G312" s="1"/>
      <c r="H312" s="1"/>
      <c r="I312" s="76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01" t="s">
        <v>685</v>
      </c>
      <c r="V312" s="91" t="s">
        <v>689</v>
      </c>
      <c r="W312" s="142">
        <v>8.0</v>
      </c>
      <c r="X312" s="142">
        <v>30.0</v>
      </c>
      <c r="Y312" s="142">
        <v>80.0</v>
      </c>
      <c r="Z312" s="103">
        <v>2.0</v>
      </c>
      <c r="AA312" s="142" t="s">
        <v>147</v>
      </c>
      <c r="AB312" s="105">
        <v>277.4</v>
      </c>
      <c r="AC312" s="1"/>
      <c r="AD312" s="1"/>
      <c r="AE312" s="1"/>
      <c r="AF312" s="1"/>
      <c r="AG312" s="1"/>
    </row>
    <row r="313">
      <c r="A313" s="1"/>
      <c r="B313" s="1"/>
      <c r="C313" s="75"/>
      <c r="D313" s="1"/>
      <c r="E313" s="1"/>
      <c r="F313" s="1"/>
      <c r="G313" s="1"/>
      <c r="H313" s="1"/>
      <c r="I313" s="76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01" t="s">
        <v>690</v>
      </c>
      <c r="V313" s="91" t="s">
        <v>691</v>
      </c>
      <c r="W313" s="142">
        <v>2.0</v>
      </c>
      <c r="X313" s="142">
        <v>8.0</v>
      </c>
      <c r="Y313" s="142">
        <v>0.0</v>
      </c>
      <c r="Z313" s="103">
        <v>0.0</v>
      </c>
      <c r="AA313" s="142" t="s">
        <v>136</v>
      </c>
      <c r="AB313" s="105">
        <v>45.26</v>
      </c>
      <c r="AC313" s="1"/>
      <c r="AD313" s="1"/>
      <c r="AE313" s="1"/>
      <c r="AF313" s="1"/>
      <c r="AG313" s="1"/>
    </row>
    <row r="314">
      <c r="A314" s="1"/>
      <c r="B314" s="1"/>
      <c r="C314" s="75"/>
      <c r="D314" s="1"/>
      <c r="E314" s="1"/>
      <c r="F314" s="1"/>
      <c r="G314" s="1"/>
      <c r="H314" s="1"/>
      <c r="I314" s="76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01" t="s">
        <v>692</v>
      </c>
      <c r="V314" s="91" t="s">
        <v>693</v>
      </c>
      <c r="W314" s="142">
        <v>4.0</v>
      </c>
      <c r="X314" s="142">
        <v>16.0</v>
      </c>
      <c r="Y314" s="142">
        <v>0.0</v>
      </c>
      <c r="Z314" s="103">
        <v>0.0</v>
      </c>
      <c r="AA314" s="142" t="s">
        <v>147</v>
      </c>
      <c r="AB314" s="105">
        <v>90.45</v>
      </c>
      <c r="AC314" s="1"/>
      <c r="AD314" s="1"/>
      <c r="AE314" s="1"/>
      <c r="AF314" s="1"/>
      <c r="AG314" s="1"/>
    </row>
    <row r="315">
      <c r="A315" s="1"/>
      <c r="B315" s="1"/>
      <c r="C315" s="75"/>
      <c r="D315" s="1"/>
      <c r="E315" s="1"/>
      <c r="F315" s="1"/>
      <c r="G315" s="1"/>
      <c r="H315" s="1"/>
      <c r="I315" s="76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01" t="s">
        <v>692</v>
      </c>
      <c r="V315" s="91" t="s">
        <v>694</v>
      </c>
      <c r="W315" s="142">
        <v>8.0</v>
      </c>
      <c r="X315" s="142">
        <v>32.0</v>
      </c>
      <c r="Y315" s="142">
        <v>0.0</v>
      </c>
      <c r="Z315" s="103">
        <v>0.0</v>
      </c>
      <c r="AA315" s="142" t="s">
        <v>147</v>
      </c>
      <c r="AB315" s="105">
        <v>180.89</v>
      </c>
      <c r="AC315" s="1"/>
      <c r="AD315" s="1"/>
      <c r="AE315" s="1"/>
      <c r="AF315" s="1"/>
      <c r="AG315" s="1"/>
    </row>
    <row r="316">
      <c r="A316" s="1"/>
      <c r="B316" s="1"/>
      <c r="C316" s="75"/>
      <c r="D316" s="1"/>
      <c r="E316" s="1"/>
      <c r="F316" s="1"/>
      <c r="G316" s="1"/>
      <c r="H316" s="1"/>
      <c r="I316" s="76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01" t="s">
        <v>692</v>
      </c>
      <c r="V316" s="91" t="s">
        <v>695</v>
      </c>
      <c r="W316" s="142">
        <v>16.0</v>
      </c>
      <c r="X316" s="142">
        <v>64.0</v>
      </c>
      <c r="Y316" s="142">
        <v>0.0</v>
      </c>
      <c r="Z316" s="103">
        <v>0.0</v>
      </c>
      <c r="AA316" s="142" t="s">
        <v>147</v>
      </c>
      <c r="AB316" s="105">
        <v>361.79</v>
      </c>
      <c r="AC316" s="1"/>
      <c r="AD316" s="1"/>
      <c r="AE316" s="1"/>
      <c r="AF316" s="1"/>
      <c r="AG316" s="1"/>
    </row>
    <row r="317">
      <c r="A317" s="1"/>
      <c r="B317" s="1"/>
      <c r="C317" s="75"/>
      <c r="D317" s="1"/>
      <c r="E317" s="1"/>
      <c r="F317" s="1"/>
      <c r="G317" s="1"/>
      <c r="H317" s="1"/>
      <c r="I317" s="76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01" t="s">
        <v>692</v>
      </c>
      <c r="V317" s="91" t="s">
        <v>696</v>
      </c>
      <c r="W317" s="142">
        <v>40.0</v>
      </c>
      <c r="X317" s="142">
        <v>160.0</v>
      </c>
      <c r="Y317" s="142">
        <v>0.0</v>
      </c>
      <c r="Z317" s="103">
        <v>0.0</v>
      </c>
      <c r="AA317" s="142" t="s">
        <v>154</v>
      </c>
      <c r="AB317" s="105">
        <v>904.47</v>
      </c>
      <c r="AC317" s="1"/>
      <c r="AD317" s="1"/>
      <c r="AE317" s="1"/>
      <c r="AF317" s="1"/>
      <c r="AG317" s="1"/>
    </row>
    <row r="318">
      <c r="A318" s="1"/>
      <c r="B318" s="1"/>
      <c r="C318" s="75"/>
      <c r="D318" s="1"/>
      <c r="E318" s="1"/>
      <c r="F318" s="1"/>
      <c r="G318" s="1"/>
      <c r="H318" s="1"/>
      <c r="I318" s="76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01" t="s">
        <v>692</v>
      </c>
      <c r="V318" s="91" t="s">
        <v>697</v>
      </c>
      <c r="W318" s="142">
        <v>64.0</v>
      </c>
      <c r="X318" s="142">
        <v>256.0</v>
      </c>
      <c r="Y318" s="142">
        <v>0.0</v>
      </c>
      <c r="Z318" s="103">
        <v>0.0</v>
      </c>
      <c r="AA318" s="142" t="s">
        <v>208</v>
      </c>
      <c r="AB318" s="105">
        <v>1447.15</v>
      </c>
      <c r="AC318" s="1"/>
      <c r="AD318" s="1"/>
      <c r="AE318" s="1"/>
      <c r="AF318" s="1"/>
      <c r="AG318" s="1"/>
    </row>
    <row r="319">
      <c r="A319" s="1"/>
      <c r="B319" s="1"/>
      <c r="C319" s="75"/>
      <c r="D319" s="1"/>
      <c r="E319" s="1"/>
      <c r="F319" s="1"/>
      <c r="G319" s="1"/>
      <c r="H319" s="1"/>
      <c r="I319" s="76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01" t="s">
        <v>698</v>
      </c>
      <c r="V319" s="91" t="s">
        <v>699</v>
      </c>
      <c r="W319" s="142">
        <v>2.0</v>
      </c>
      <c r="X319" s="142">
        <v>8.0</v>
      </c>
      <c r="Y319" s="142">
        <v>0.0</v>
      </c>
      <c r="Z319" s="103">
        <v>0.0</v>
      </c>
      <c r="AA319" s="142" t="s">
        <v>105</v>
      </c>
      <c r="AB319" s="105">
        <v>43.8</v>
      </c>
      <c r="AC319" s="1"/>
      <c r="AD319" s="1"/>
      <c r="AE319" s="1"/>
      <c r="AF319" s="1"/>
      <c r="AG319" s="1"/>
    </row>
    <row r="320">
      <c r="A320" s="1"/>
      <c r="B320" s="1"/>
      <c r="C320" s="75"/>
      <c r="D320" s="1"/>
      <c r="E320" s="1"/>
      <c r="F320" s="1"/>
      <c r="G320" s="1"/>
      <c r="H320" s="1"/>
      <c r="I320" s="76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01" t="s">
        <v>700</v>
      </c>
      <c r="V320" s="91" t="s">
        <v>701</v>
      </c>
      <c r="W320" s="142">
        <v>4.0</v>
      </c>
      <c r="X320" s="142">
        <v>16.0</v>
      </c>
      <c r="Y320" s="142">
        <v>0.0</v>
      </c>
      <c r="Z320" s="103">
        <v>0.0</v>
      </c>
      <c r="AA320" s="142" t="s">
        <v>105</v>
      </c>
      <c r="AB320" s="105">
        <v>88.33</v>
      </c>
      <c r="AC320" s="1"/>
      <c r="AD320" s="1"/>
      <c r="AE320" s="1"/>
      <c r="AF320" s="1"/>
      <c r="AG320" s="1"/>
    </row>
    <row r="321">
      <c r="A321" s="1"/>
      <c r="B321" s="1"/>
      <c r="C321" s="75"/>
      <c r="D321" s="1"/>
      <c r="E321" s="1"/>
      <c r="F321" s="1"/>
      <c r="G321" s="1"/>
      <c r="H321" s="1"/>
      <c r="I321" s="76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01" t="s">
        <v>700</v>
      </c>
      <c r="V321" s="91" t="s">
        <v>702</v>
      </c>
      <c r="W321" s="142">
        <v>8.0</v>
      </c>
      <c r="X321" s="142">
        <v>32.0</v>
      </c>
      <c r="Y321" s="142">
        <v>0.0</v>
      </c>
      <c r="Z321" s="103">
        <v>0.0</v>
      </c>
      <c r="AA321" s="142" t="s">
        <v>105</v>
      </c>
      <c r="AB321" s="105">
        <v>176.66</v>
      </c>
      <c r="AC321" s="1"/>
      <c r="AD321" s="1"/>
      <c r="AE321" s="1"/>
      <c r="AF321" s="1"/>
      <c r="AG321" s="1"/>
    </row>
    <row r="322">
      <c r="A322" s="1"/>
      <c r="B322" s="1"/>
      <c r="C322" s="75"/>
      <c r="D322" s="1"/>
      <c r="E322" s="1"/>
      <c r="F322" s="1"/>
      <c r="G322" s="1"/>
      <c r="H322" s="1"/>
      <c r="I322" s="76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01" t="s">
        <v>700</v>
      </c>
      <c r="V322" s="91" t="s">
        <v>703</v>
      </c>
      <c r="W322" s="142">
        <v>16.0</v>
      </c>
      <c r="X322" s="142">
        <v>64.0</v>
      </c>
      <c r="Y322" s="142">
        <v>0.0</v>
      </c>
      <c r="Z322" s="103">
        <v>0.0</v>
      </c>
      <c r="AA322" s="142" t="s">
        <v>105</v>
      </c>
      <c r="AB322" s="105">
        <v>353.32</v>
      </c>
      <c r="AC322" s="1"/>
      <c r="AD322" s="1"/>
      <c r="AE322" s="1"/>
      <c r="AF322" s="1"/>
      <c r="AG322" s="1"/>
    </row>
    <row r="323">
      <c r="A323" s="1"/>
      <c r="B323" s="1"/>
      <c r="C323" s="75"/>
      <c r="D323" s="1"/>
      <c r="E323" s="1"/>
      <c r="F323" s="1"/>
      <c r="G323" s="1"/>
      <c r="H323" s="1"/>
      <c r="I323" s="76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01" t="s">
        <v>700</v>
      </c>
      <c r="V323" s="91" t="s">
        <v>704</v>
      </c>
      <c r="W323" s="142">
        <v>32.0</v>
      </c>
      <c r="X323" s="142">
        <v>128.0</v>
      </c>
      <c r="Y323" s="142">
        <v>0.0</v>
      </c>
      <c r="Z323" s="103">
        <v>0.0</v>
      </c>
      <c r="AA323" s="142" t="s">
        <v>154</v>
      </c>
      <c r="AB323" s="105">
        <v>706.64</v>
      </c>
      <c r="AC323" s="1"/>
      <c r="AD323" s="1"/>
      <c r="AE323" s="1"/>
      <c r="AF323" s="1"/>
      <c r="AG323" s="1"/>
    </row>
    <row r="324">
      <c r="A324" s="1"/>
      <c r="B324" s="1"/>
      <c r="C324" s="75"/>
      <c r="D324" s="1"/>
      <c r="E324" s="1"/>
      <c r="F324" s="1"/>
      <c r="G324" s="1"/>
      <c r="H324" s="1"/>
      <c r="I324" s="76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01" t="s">
        <v>700</v>
      </c>
      <c r="V324" s="91" t="s">
        <v>705</v>
      </c>
      <c r="W324" s="142">
        <v>48.0</v>
      </c>
      <c r="X324" s="142">
        <v>192.0</v>
      </c>
      <c r="Y324" s="142">
        <v>0.0</v>
      </c>
      <c r="Z324" s="103">
        <v>0.0</v>
      </c>
      <c r="AA324" s="142" t="s">
        <v>198</v>
      </c>
      <c r="AB324" s="105">
        <v>1059.96</v>
      </c>
      <c r="AC324" s="1"/>
      <c r="AD324" s="1"/>
      <c r="AE324" s="1"/>
      <c r="AF324" s="1"/>
      <c r="AG324" s="1"/>
    </row>
    <row r="325">
      <c r="A325" s="1"/>
      <c r="B325" s="1"/>
      <c r="C325" s="75"/>
      <c r="D325" s="1"/>
      <c r="E325" s="1"/>
      <c r="F325" s="1"/>
      <c r="G325" s="1"/>
      <c r="H325" s="1"/>
      <c r="I325" s="76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01" t="s">
        <v>700</v>
      </c>
      <c r="V325" s="91" t="s">
        <v>706</v>
      </c>
      <c r="W325" s="142">
        <v>64.0</v>
      </c>
      <c r="X325" s="142">
        <v>256.0</v>
      </c>
      <c r="Y325" s="142">
        <v>0.0</v>
      </c>
      <c r="Z325" s="103">
        <v>0.0</v>
      </c>
      <c r="AA325" s="142" t="s">
        <v>236</v>
      </c>
      <c r="AB325" s="105">
        <v>1412.55</v>
      </c>
      <c r="AC325" s="1"/>
      <c r="AD325" s="1"/>
      <c r="AE325" s="1"/>
      <c r="AF325" s="1"/>
      <c r="AG325" s="1"/>
    </row>
    <row r="326">
      <c r="A326" s="1"/>
      <c r="B326" s="1"/>
      <c r="C326" s="75"/>
      <c r="D326" s="1"/>
      <c r="E326" s="1"/>
      <c r="F326" s="1"/>
      <c r="G326" s="1"/>
      <c r="H326" s="1"/>
      <c r="I326" s="76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01" t="s">
        <v>700</v>
      </c>
      <c r="V326" s="91" t="s">
        <v>707</v>
      </c>
      <c r="W326" s="142">
        <v>96.0</v>
      </c>
      <c r="X326" s="142">
        <v>384.0</v>
      </c>
      <c r="Y326" s="142">
        <v>0.0</v>
      </c>
      <c r="Z326" s="103">
        <v>0.0</v>
      </c>
      <c r="AA326" s="142" t="s">
        <v>208</v>
      </c>
      <c r="AB326" s="105">
        <v>2119.19</v>
      </c>
      <c r="AC326" s="1"/>
      <c r="AD326" s="1"/>
      <c r="AE326" s="1"/>
      <c r="AF326" s="1"/>
      <c r="AG326" s="1"/>
    </row>
    <row r="327">
      <c r="A327" s="1"/>
      <c r="B327" s="1"/>
      <c r="C327" s="75"/>
      <c r="D327" s="1"/>
      <c r="E327" s="1"/>
      <c r="F327" s="1"/>
      <c r="G327" s="1"/>
      <c r="H327" s="1"/>
      <c r="I327" s="76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01" t="s">
        <v>708</v>
      </c>
      <c r="V327" s="91" t="s">
        <v>709</v>
      </c>
      <c r="W327" s="142">
        <v>2.0</v>
      </c>
      <c r="X327" s="142">
        <v>8.0</v>
      </c>
      <c r="Y327" s="142">
        <v>0.0</v>
      </c>
      <c r="Z327" s="103">
        <v>0.0</v>
      </c>
      <c r="AA327" s="142" t="s">
        <v>105</v>
      </c>
      <c r="AB327" s="105">
        <v>39.42</v>
      </c>
      <c r="AC327" s="1"/>
      <c r="AD327" s="1"/>
      <c r="AE327" s="1"/>
      <c r="AF327" s="1"/>
      <c r="AG327" s="1"/>
    </row>
    <row r="328">
      <c r="A328" s="1"/>
      <c r="B328" s="1"/>
      <c r="C328" s="75"/>
      <c r="D328" s="1"/>
      <c r="E328" s="1"/>
      <c r="F328" s="1"/>
      <c r="G328" s="1"/>
      <c r="H328" s="1"/>
      <c r="I328" s="76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01" t="s">
        <v>710</v>
      </c>
      <c r="V328" s="91" t="s">
        <v>711</v>
      </c>
      <c r="W328" s="142">
        <v>4.0</v>
      </c>
      <c r="X328" s="142">
        <v>16.0</v>
      </c>
      <c r="Y328" s="142">
        <v>0.0</v>
      </c>
      <c r="Z328" s="103">
        <v>0.0</v>
      </c>
      <c r="AA328" s="142" t="s">
        <v>105</v>
      </c>
      <c r="AB328" s="105">
        <v>78.84</v>
      </c>
      <c r="AC328" s="1"/>
      <c r="AD328" s="1"/>
      <c r="AE328" s="1"/>
      <c r="AF328" s="1"/>
      <c r="AG328" s="1"/>
    </row>
    <row r="329">
      <c r="A329" s="1"/>
      <c r="B329" s="1"/>
      <c r="C329" s="75"/>
      <c r="D329" s="1"/>
      <c r="E329" s="1"/>
      <c r="F329" s="1"/>
      <c r="G329" s="1"/>
      <c r="H329" s="1"/>
      <c r="I329" s="76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01" t="s">
        <v>710</v>
      </c>
      <c r="V329" s="91" t="s">
        <v>712</v>
      </c>
      <c r="W329" s="142">
        <v>8.0</v>
      </c>
      <c r="X329" s="142">
        <v>32.0</v>
      </c>
      <c r="Y329" s="142">
        <v>0.0</v>
      </c>
      <c r="Z329" s="103">
        <v>0.0</v>
      </c>
      <c r="AA329" s="142" t="s">
        <v>105</v>
      </c>
      <c r="AB329" s="105">
        <v>158.41</v>
      </c>
      <c r="AC329" s="1"/>
      <c r="AD329" s="1"/>
      <c r="AE329" s="1"/>
      <c r="AF329" s="1"/>
      <c r="AG329" s="1"/>
    </row>
    <row r="330">
      <c r="A330" s="1"/>
      <c r="B330" s="1"/>
      <c r="C330" s="75"/>
      <c r="D330" s="1"/>
      <c r="E330" s="1"/>
      <c r="F330" s="1"/>
      <c r="G330" s="1"/>
      <c r="H330" s="1"/>
      <c r="I330" s="76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01" t="s">
        <v>710</v>
      </c>
      <c r="V330" s="91" t="s">
        <v>713</v>
      </c>
      <c r="W330" s="142">
        <v>16.0</v>
      </c>
      <c r="X330" s="142">
        <v>64.0</v>
      </c>
      <c r="Y330" s="142">
        <v>0.0</v>
      </c>
      <c r="Z330" s="103">
        <v>0.0</v>
      </c>
      <c r="AA330" s="142" t="s">
        <v>105</v>
      </c>
      <c r="AB330" s="105">
        <v>316.09</v>
      </c>
      <c r="AC330" s="1"/>
      <c r="AD330" s="1"/>
      <c r="AE330" s="1"/>
      <c r="AF330" s="1"/>
      <c r="AG330" s="1"/>
    </row>
    <row r="331">
      <c r="A331" s="1"/>
      <c r="B331" s="1"/>
      <c r="C331" s="75"/>
      <c r="D331" s="1"/>
      <c r="E331" s="1"/>
      <c r="F331" s="1"/>
      <c r="G331" s="1"/>
      <c r="H331" s="1"/>
      <c r="I331" s="76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01" t="s">
        <v>710</v>
      </c>
      <c r="V331" s="91" t="s">
        <v>714</v>
      </c>
      <c r="W331" s="142">
        <v>32.0</v>
      </c>
      <c r="X331" s="142">
        <v>128.0</v>
      </c>
      <c r="Y331" s="142">
        <v>0.0</v>
      </c>
      <c r="Z331" s="103">
        <v>0.0</v>
      </c>
      <c r="AA331" s="142" t="s">
        <v>105</v>
      </c>
      <c r="AB331" s="105">
        <v>632.91</v>
      </c>
      <c r="AC331" s="1"/>
      <c r="AD331" s="1"/>
      <c r="AE331" s="1"/>
      <c r="AF331" s="1"/>
      <c r="AG331" s="1"/>
    </row>
    <row r="332">
      <c r="A332" s="1"/>
      <c r="B332" s="1"/>
      <c r="C332" s="75"/>
      <c r="D332" s="1"/>
      <c r="E332" s="1"/>
      <c r="F332" s="1"/>
      <c r="G332" s="1"/>
      <c r="H332" s="1"/>
      <c r="I332" s="76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01" t="s">
        <v>710</v>
      </c>
      <c r="V332" s="91" t="s">
        <v>715</v>
      </c>
      <c r="W332" s="142">
        <v>48.0</v>
      </c>
      <c r="X332" s="142">
        <v>192.0</v>
      </c>
      <c r="Y332" s="142">
        <v>0.0</v>
      </c>
      <c r="Z332" s="103">
        <v>0.0</v>
      </c>
      <c r="AA332" s="142" t="s">
        <v>154</v>
      </c>
      <c r="AB332" s="105">
        <v>949.0</v>
      </c>
      <c r="AC332" s="1"/>
      <c r="AD332" s="1"/>
      <c r="AE332" s="1"/>
      <c r="AF332" s="1"/>
      <c r="AG332" s="1"/>
    </row>
    <row r="333">
      <c r="A333" s="1"/>
      <c r="B333" s="1"/>
      <c r="C333" s="75"/>
      <c r="D333" s="1"/>
      <c r="E333" s="1"/>
      <c r="F333" s="1"/>
      <c r="G333" s="1"/>
      <c r="H333" s="1"/>
      <c r="I333" s="76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01" t="s">
        <v>710</v>
      </c>
      <c r="V333" s="91" t="s">
        <v>716</v>
      </c>
      <c r="W333" s="142">
        <v>64.0</v>
      </c>
      <c r="X333" s="142">
        <v>256.0</v>
      </c>
      <c r="Y333" s="142">
        <v>0.0</v>
      </c>
      <c r="Z333" s="103">
        <v>0.0</v>
      </c>
      <c r="AA333" s="142" t="s">
        <v>198</v>
      </c>
      <c r="AB333" s="105">
        <v>1265.82</v>
      </c>
      <c r="AC333" s="1"/>
      <c r="AD333" s="1"/>
      <c r="AE333" s="1"/>
      <c r="AF333" s="1"/>
      <c r="AG333" s="1"/>
    </row>
    <row r="334">
      <c r="A334" s="1"/>
      <c r="B334" s="1"/>
      <c r="C334" s="75"/>
      <c r="D334" s="1"/>
      <c r="E334" s="1"/>
      <c r="F334" s="1"/>
      <c r="G334" s="1"/>
      <c r="H334" s="1"/>
      <c r="I334" s="76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01" t="s">
        <v>710</v>
      </c>
      <c r="V334" s="91" t="s">
        <v>717</v>
      </c>
      <c r="W334" s="142">
        <v>96.0</v>
      </c>
      <c r="X334" s="142">
        <v>384.0</v>
      </c>
      <c r="Y334" s="142">
        <v>0.0</v>
      </c>
      <c r="Z334" s="103">
        <v>0.0</v>
      </c>
      <c r="AA334" s="142" t="s">
        <v>236</v>
      </c>
      <c r="AB334" s="105">
        <v>1898.73</v>
      </c>
      <c r="AC334" s="1"/>
      <c r="AD334" s="1"/>
      <c r="AE334" s="1"/>
      <c r="AF334" s="1"/>
      <c r="AG334" s="1"/>
    </row>
    <row r="335">
      <c r="A335" s="1"/>
      <c r="B335" s="1"/>
      <c r="C335" s="75"/>
      <c r="D335" s="1"/>
      <c r="E335" s="1"/>
      <c r="F335" s="1"/>
      <c r="G335" s="1"/>
      <c r="H335" s="1"/>
      <c r="I335" s="76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01" t="s">
        <v>718</v>
      </c>
      <c r="V335" s="91" t="s">
        <v>719</v>
      </c>
      <c r="W335" s="142">
        <v>2.0</v>
      </c>
      <c r="X335" s="142">
        <v>8.0</v>
      </c>
      <c r="Y335" s="142">
        <v>900.0</v>
      </c>
      <c r="Z335" s="103">
        <f t="shared" ref="Z335:Z338" si="7">Z336/2</f>
        <v>0.08333333333</v>
      </c>
      <c r="AA335" s="142" t="s">
        <v>105</v>
      </c>
      <c r="AB335" s="105">
        <v>47.45</v>
      </c>
      <c r="AC335" s="1"/>
      <c r="AD335" s="1"/>
      <c r="AE335" s="1"/>
      <c r="AF335" s="1"/>
      <c r="AG335" s="1"/>
    </row>
    <row r="336">
      <c r="A336" s="1"/>
      <c r="B336" s="1"/>
      <c r="C336" s="75"/>
      <c r="D336" s="1"/>
      <c r="E336" s="1"/>
      <c r="F336" s="1"/>
      <c r="G336" s="1"/>
      <c r="H336" s="1"/>
      <c r="I336" s="76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01" t="s">
        <v>718</v>
      </c>
      <c r="V336" s="91" t="s">
        <v>720</v>
      </c>
      <c r="W336" s="142">
        <v>4.0</v>
      </c>
      <c r="X336" s="142">
        <v>16.0</v>
      </c>
      <c r="Y336" s="142">
        <v>900.0</v>
      </c>
      <c r="Z336" s="103">
        <f t="shared" si="7"/>
        <v>0.1666666667</v>
      </c>
      <c r="AA336" s="142" t="s">
        <v>105</v>
      </c>
      <c r="AB336" s="105">
        <v>94.9</v>
      </c>
      <c r="AC336" s="1"/>
      <c r="AD336" s="1"/>
      <c r="AE336" s="1"/>
      <c r="AF336" s="1"/>
      <c r="AG336" s="1"/>
    </row>
    <row r="337">
      <c r="A337" s="1"/>
      <c r="B337" s="1"/>
      <c r="C337" s="75"/>
      <c r="D337" s="1"/>
      <c r="E337" s="1"/>
      <c r="F337" s="1"/>
      <c r="G337" s="1"/>
      <c r="H337" s="1"/>
      <c r="I337" s="76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01" t="s">
        <v>718</v>
      </c>
      <c r="V337" s="91" t="s">
        <v>721</v>
      </c>
      <c r="W337" s="142">
        <v>8.0</v>
      </c>
      <c r="X337" s="142">
        <v>32.0</v>
      </c>
      <c r="Y337" s="142">
        <v>900.0</v>
      </c>
      <c r="Z337" s="103">
        <f t="shared" si="7"/>
        <v>0.3333333333</v>
      </c>
      <c r="AA337" s="142" t="s">
        <v>105</v>
      </c>
      <c r="AB337" s="105">
        <v>189.8</v>
      </c>
      <c r="AC337" s="1"/>
      <c r="AD337" s="1"/>
      <c r="AE337" s="1"/>
      <c r="AF337" s="1"/>
      <c r="AG337" s="1"/>
    </row>
    <row r="338">
      <c r="A338" s="1"/>
      <c r="B338" s="1"/>
      <c r="C338" s="75"/>
      <c r="D338" s="1"/>
      <c r="E338" s="1"/>
      <c r="F338" s="1"/>
      <c r="G338" s="1"/>
      <c r="H338" s="1"/>
      <c r="I338" s="76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01" t="s">
        <v>722</v>
      </c>
      <c r="V338" s="91" t="s">
        <v>723</v>
      </c>
      <c r="W338" s="142">
        <v>16.0</v>
      </c>
      <c r="X338" s="142">
        <v>64.0</v>
      </c>
      <c r="Y338" s="142">
        <v>900.0</v>
      </c>
      <c r="Z338" s="103">
        <f t="shared" si="7"/>
        <v>0.6666666667</v>
      </c>
      <c r="AA338" s="142" t="s">
        <v>105</v>
      </c>
      <c r="AB338" s="105">
        <v>378.87</v>
      </c>
      <c r="AC338" s="1"/>
      <c r="AD338" s="1"/>
      <c r="AE338" s="1"/>
      <c r="AF338" s="1"/>
      <c r="AG338" s="1"/>
    </row>
    <row r="339">
      <c r="A339" s="1"/>
      <c r="B339" s="1"/>
      <c r="C339" s="75"/>
      <c r="D339" s="1"/>
      <c r="E339" s="1"/>
      <c r="F339" s="1"/>
      <c r="G339" s="1"/>
      <c r="H339" s="1"/>
      <c r="I339" s="76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01" t="s">
        <v>718</v>
      </c>
      <c r="V339" s="91" t="s">
        <v>724</v>
      </c>
      <c r="W339" s="142">
        <v>32.0</v>
      </c>
      <c r="X339" s="142">
        <v>128.0</v>
      </c>
      <c r="Y339" s="142">
        <v>900.0</v>
      </c>
      <c r="Z339" s="103">
        <f>Z341/2</f>
        <v>1.333333333</v>
      </c>
      <c r="AA339" s="142" t="s">
        <v>105</v>
      </c>
      <c r="AB339" s="105">
        <v>757.74</v>
      </c>
      <c r="AC339" s="1"/>
      <c r="AD339" s="1"/>
      <c r="AE339" s="1"/>
      <c r="AF339" s="1"/>
      <c r="AG339" s="1"/>
    </row>
    <row r="340">
      <c r="A340" s="1"/>
      <c r="B340" s="1"/>
      <c r="C340" s="75"/>
      <c r="D340" s="1"/>
      <c r="E340" s="1"/>
      <c r="F340" s="1"/>
      <c r="G340" s="1"/>
      <c r="H340" s="1"/>
      <c r="I340" s="76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01" t="s">
        <v>718</v>
      </c>
      <c r="V340" s="91" t="s">
        <v>725</v>
      </c>
      <c r="W340" s="142">
        <v>48.0</v>
      </c>
      <c r="X340" s="142">
        <v>192.0</v>
      </c>
      <c r="Y340" s="142">
        <v>900.0</v>
      </c>
      <c r="Z340" s="103">
        <v>2.0</v>
      </c>
      <c r="AA340" s="142" t="s">
        <v>154</v>
      </c>
      <c r="AB340" s="105">
        <v>1136.61</v>
      </c>
      <c r="AC340" s="1"/>
      <c r="AD340" s="1"/>
      <c r="AE340" s="1"/>
      <c r="AF340" s="1"/>
      <c r="AG340" s="1"/>
    </row>
    <row r="341">
      <c r="A341" s="1"/>
      <c r="B341" s="1"/>
      <c r="C341" s="75"/>
      <c r="D341" s="1"/>
      <c r="E341" s="1"/>
      <c r="F341" s="1"/>
      <c r="G341" s="1"/>
      <c r="H341" s="1"/>
      <c r="I341" s="76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01" t="s">
        <v>718</v>
      </c>
      <c r="V341" s="91" t="s">
        <v>726</v>
      </c>
      <c r="W341" s="142">
        <v>64.0</v>
      </c>
      <c r="X341" s="142">
        <v>256.0</v>
      </c>
      <c r="Y341" s="142">
        <v>900.0</v>
      </c>
      <c r="Z341" s="103">
        <f>8/3</f>
        <v>2.666666667</v>
      </c>
      <c r="AA341" s="142" t="s">
        <v>198</v>
      </c>
      <c r="AB341" s="105">
        <v>1515.48</v>
      </c>
      <c r="AC341" s="1"/>
      <c r="AD341" s="1"/>
      <c r="AE341" s="1"/>
      <c r="AF341" s="1"/>
      <c r="AG341" s="1"/>
    </row>
    <row r="342">
      <c r="A342" s="1"/>
      <c r="B342" s="1"/>
      <c r="C342" s="75"/>
      <c r="D342" s="1"/>
      <c r="E342" s="1"/>
      <c r="F342" s="1"/>
      <c r="G342" s="1"/>
      <c r="H342" s="1"/>
      <c r="I342" s="76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01" t="s">
        <v>718</v>
      </c>
      <c r="V342" s="91" t="s">
        <v>727</v>
      </c>
      <c r="W342" s="142">
        <v>96.0</v>
      </c>
      <c r="X342" s="142">
        <v>384.0</v>
      </c>
      <c r="Y342" s="142">
        <v>900.0</v>
      </c>
      <c r="Z342" s="103">
        <v>4.0</v>
      </c>
      <c r="AA342" s="142" t="s">
        <v>236</v>
      </c>
      <c r="AB342" s="105">
        <v>2273.95</v>
      </c>
      <c r="AC342" s="1"/>
      <c r="AD342" s="1"/>
      <c r="AE342" s="1"/>
      <c r="AF342" s="1"/>
      <c r="AG342" s="1"/>
    </row>
    <row r="343">
      <c r="A343" s="1"/>
      <c r="B343" s="1"/>
      <c r="C343" s="75"/>
      <c r="D343" s="1"/>
      <c r="E343" s="1"/>
      <c r="F343" s="1"/>
      <c r="G343" s="1"/>
      <c r="H343" s="1"/>
      <c r="I343" s="76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01" t="s">
        <v>728</v>
      </c>
      <c r="V343" s="91" t="s">
        <v>729</v>
      </c>
      <c r="W343" s="142">
        <v>2.0</v>
      </c>
      <c r="X343" s="142">
        <v>8.0</v>
      </c>
      <c r="Y343" s="142">
        <v>900.0</v>
      </c>
      <c r="Z343" s="103">
        <f t="shared" ref="Z343:Z346" si="8">Z344/2</f>
        <v>0.08333333333</v>
      </c>
      <c r="AA343" s="142" t="s">
        <v>105</v>
      </c>
      <c r="AB343" s="105">
        <v>51.83</v>
      </c>
      <c r="AC343" s="1"/>
      <c r="AD343" s="1"/>
      <c r="AE343" s="1"/>
      <c r="AF343" s="1"/>
      <c r="AG343" s="1"/>
    </row>
    <row r="344">
      <c r="A344" s="1"/>
      <c r="B344" s="1"/>
      <c r="C344" s="75"/>
      <c r="D344" s="1"/>
      <c r="E344" s="1"/>
      <c r="F344" s="1"/>
      <c r="G344" s="1"/>
      <c r="H344" s="1"/>
      <c r="I344" s="76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01" t="s">
        <v>728</v>
      </c>
      <c r="V344" s="91" t="s">
        <v>730</v>
      </c>
      <c r="W344" s="142">
        <v>4.0</v>
      </c>
      <c r="X344" s="142">
        <v>16.0</v>
      </c>
      <c r="Y344" s="142">
        <v>900.0</v>
      </c>
      <c r="Z344" s="103">
        <f t="shared" si="8"/>
        <v>0.1666666667</v>
      </c>
      <c r="AA344" s="142" t="s">
        <v>105</v>
      </c>
      <c r="AB344" s="105">
        <v>103.66</v>
      </c>
      <c r="AC344" s="1"/>
      <c r="AD344" s="1"/>
      <c r="AE344" s="1"/>
      <c r="AF344" s="1"/>
      <c r="AG344" s="1"/>
    </row>
    <row r="345">
      <c r="A345" s="1"/>
      <c r="B345" s="1"/>
      <c r="C345" s="75"/>
      <c r="D345" s="1"/>
      <c r="E345" s="1"/>
      <c r="F345" s="1"/>
      <c r="G345" s="1"/>
      <c r="H345" s="1"/>
      <c r="I345" s="76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01" t="s">
        <v>728</v>
      </c>
      <c r="V345" s="91" t="s">
        <v>731</v>
      </c>
      <c r="W345" s="142">
        <v>8.0</v>
      </c>
      <c r="X345" s="142">
        <v>32.0</v>
      </c>
      <c r="Y345" s="142">
        <v>900.0</v>
      </c>
      <c r="Z345" s="103">
        <f t="shared" si="8"/>
        <v>0.3333333333</v>
      </c>
      <c r="AA345" s="142" t="s">
        <v>105</v>
      </c>
      <c r="AB345" s="105">
        <v>208.05</v>
      </c>
      <c r="AC345" s="1"/>
      <c r="AD345" s="1"/>
      <c r="AE345" s="1"/>
      <c r="AF345" s="1"/>
      <c r="AG345" s="1"/>
    </row>
    <row r="346">
      <c r="A346" s="1"/>
      <c r="B346" s="1"/>
      <c r="C346" s="75"/>
      <c r="D346" s="1"/>
      <c r="E346" s="1"/>
      <c r="F346" s="1"/>
      <c r="G346" s="1"/>
      <c r="H346" s="1"/>
      <c r="I346" s="76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01" t="s">
        <v>732</v>
      </c>
      <c r="V346" s="91" t="s">
        <v>733</v>
      </c>
      <c r="W346" s="142">
        <v>16.0</v>
      </c>
      <c r="X346" s="142">
        <v>64.0</v>
      </c>
      <c r="Y346" s="142">
        <v>900.0</v>
      </c>
      <c r="Z346" s="103">
        <f t="shared" si="8"/>
        <v>0.6666666667</v>
      </c>
      <c r="AA346" s="142" t="s">
        <v>105</v>
      </c>
      <c r="AB346" s="105">
        <v>416.1</v>
      </c>
      <c r="AC346" s="1"/>
      <c r="AD346" s="1"/>
      <c r="AE346" s="1"/>
      <c r="AF346" s="1"/>
      <c r="AG346" s="1"/>
    </row>
    <row r="347">
      <c r="A347" s="1"/>
      <c r="B347" s="1"/>
      <c r="C347" s="75"/>
      <c r="D347" s="1"/>
      <c r="E347" s="1"/>
      <c r="F347" s="1"/>
      <c r="G347" s="1"/>
      <c r="H347" s="1"/>
      <c r="I347" s="76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01" t="s">
        <v>728</v>
      </c>
      <c r="V347" s="91" t="s">
        <v>734</v>
      </c>
      <c r="W347" s="142">
        <v>32.0</v>
      </c>
      <c r="X347" s="142">
        <v>128.0</v>
      </c>
      <c r="Y347" s="142">
        <v>900.0</v>
      </c>
      <c r="Z347" s="103">
        <f>4/3</f>
        <v>1.333333333</v>
      </c>
      <c r="AA347" s="142" t="s">
        <v>154</v>
      </c>
      <c r="AB347" s="105">
        <v>831.47</v>
      </c>
      <c r="AC347" s="1"/>
      <c r="AD347" s="1"/>
      <c r="AE347" s="1"/>
      <c r="AF347" s="1"/>
      <c r="AG347" s="1"/>
    </row>
    <row r="348">
      <c r="A348" s="1"/>
      <c r="B348" s="1"/>
      <c r="C348" s="75"/>
      <c r="D348" s="1"/>
      <c r="E348" s="1"/>
      <c r="F348" s="1"/>
      <c r="G348" s="1"/>
      <c r="H348" s="1"/>
      <c r="I348" s="76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01" t="s">
        <v>728</v>
      </c>
      <c r="V348" s="91" t="s">
        <v>735</v>
      </c>
      <c r="W348" s="142">
        <v>48.0</v>
      </c>
      <c r="X348" s="142">
        <v>192.0</v>
      </c>
      <c r="Y348" s="142">
        <v>900.0</v>
      </c>
      <c r="Z348" s="103">
        <v>2.0</v>
      </c>
      <c r="AA348" s="142" t="s">
        <v>198</v>
      </c>
      <c r="AB348" s="105">
        <v>1247.57</v>
      </c>
      <c r="AC348" s="1"/>
      <c r="AD348" s="1"/>
      <c r="AE348" s="1"/>
      <c r="AF348" s="1"/>
      <c r="AG348" s="1"/>
    </row>
    <row r="349">
      <c r="A349" s="1"/>
      <c r="B349" s="1"/>
      <c r="C349" s="75"/>
      <c r="D349" s="1"/>
      <c r="E349" s="1"/>
      <c r="F349" s="1"/>
      <c r="G349" s="1"/>
      <c r="H349" s="1"/>
      <c r="I349" s="76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01" t="s">
        <v>728</v>
      </c>
      <c r="V349" s="91" t="s">
        <v>736</v>
      </c>
      <c r="W349" s="142">
        <v>64.0</v>
      </c>
      <c r="X349" s="142">
        <v>256.0</v>
      </c>
      <c r="Y349" s="142">
        <v>900.0</v>
      </c>
      <c r="Z349" s="103">
        <f>8/3</f>
        <v>2.666666667</v>
      </c>
      <c r="AA349" s="142" t="s">
        <v>236</v>
      </c>
      <c r="AB349" s="105">
        <v>1662.94</v>
      </c>
      <c r="AC349" s="1"/>
      <c r="AD349" s="1"/>
      <c r="AE349" s="1"/>
      <c r="AF349" s="1"/>
      <c r="AG349" s="1"/>
    </row>
    <row r="350">
      <c r="A350" s="1"/>
      <c r="B350" s="1"/>
      <c r="C350" s="75"/>
      <c r="D350" s="1"/>
      <c r="E350" s="1"/>
      <c r="F350" s="1"/>
      <c r="G350" s="1"/>
      <c r="H350" s="1"/>
      <c r="I350" s="76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01" t="s">
        <v>728</v>
      </c>
      <c r="V350" s="91" t="s">
        <v>737</v>
      </c>
      <c r="W350" s="142">
        <v>96.0</v>
      </c>
      <c r="X350" s="142">
        <v>384.0</v>
      </c>
      <c r="Y350" s="142">
        <v>900.0</v>
      </c>
      <c r="Z350" s="103">
        <v>4.0</v>
      </c>
      <c r="AA350" s="142" t="s">
        <v>208</v>
      </c>
      <c r="AB350" s="105">
        <v>2494.41</v>
      </c>
      <c r="AC350" s="1"/>
      <c r="AD350" s="1"/>
      <c r="AE350" s="1"/>
      <c r="AF350" s="1"/>
      <c r="AG350" s="1"/>
    </row>
    <row r="351">
      <c r="A351" s="1"/>
      <c r="B351" s="1"/>
      <c r="C351" s="75"/>
      <c r="D351" s="1"/>
      <c r="E351" s="1"/>
      <c r="F351" s="1"/>
      <c r="G351" s="1"/>
      <c r="H351" s="1"/>
      <c r="I351" s="76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01" t="s">
        <v>738</v>
      </c>
      <c r="V351" s="91" t="s">
        <v>739</v>
      </c>
      <c r="W351" s="142">
        <v>2.0</v>
      </c>
      <c r="X351" s="142">
        <v>8.0</v>
      </c>
      <c r="Y351" s="142">
        <v>900.0</v>
      </c>
      <c r="Z351" s="103">
        <f t="shared" ref="Z351:Z354" si="9">Z352/2</f>
        <v>0.08333333333</v>
      </c>
      <c r="AA351" s="142" t="s">
        <v>284</v>
      </c>
      <c r="AB351" s="105">
        <v>62.78</v>
      </c>
      <c r="AC351" s="1"/>
      <c r="AD351" s="1"/>
      <c r="AE351" s="1"/>
      <c r="AF351" s="1"/>
      <c r="AG351" s="1"/>
    </row>
    <row r="352">
      <c r="A352" s="1"/>
      <c r="B352" s="1"/>
      <c r="C352" s="75"/>
      <c r="D352" s="1"/>
      <c r="E352" s="1"/>
      <c r="F352" s="1"/>
      <c r="G352" s="1"/>
      <c r="H352" s="1"/>
      <c r="I352" s="76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01" t="s">
        <v>738</v>
      </c>
      <c r="V352" s="91" t="s">
        <v>740</v>
      </c>
      <c r="W352" s="142">
        <v>4.0</v>
      </c>
      <c r="X352" s="142">
        <v>16.0</v>
      </c>
      <c r="Y352" s="142">
        <v>900.0</v>
      </c>
      <c r="Z352" s="103">
        <f t="shared" si="9"/>
        <v>0.1666666667</v>
      </c>
      <c r="AA352" s="142" t="s">
        <v>284</v>
      </c>
      <c r="AB352" s="105">
        <v>124.83</v>
      </c>
      <c r="AC352" s="1"/>
      <c r="AD352" s="1"/>
      <c r="AE352" s="1"/>
      <c r="AF352" s="1"/>
      <c r="AG352" s="1"/>
    </row>
    <row r="353">
      <c r="A353" s="1"/>
      <c r="B353" s="1"/>
      <c r="C353" s="75"/>
      <c r="D353" s="1"/>
      <c r="E353" s="1"/>
      <c r="F353" s="1"/>
      <c r="G353" s="1"/>
      <c r="H353" s="1"/>
      <c r="I353" s="76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01" t="s">
        <v>738</v>
      </c>
      <c r="V353" s="91" t="s">
        <v>741</v>
      </c>
      <c r="W353" s="142">
        <v>8.0</v>
      </c>
      <c r="X353" s="142">
        <v>32.0</v>
      </c>
      <c r="Y353" s="142">
        <v>900.0</v>
      </c>
      <c r="Z353" s="103">
        <f t="shared" si="9"/>
        <v>0.3333333333</v>
      </c>
      <c r="AA353" s="142" t="s">
        <v>284</v>
      </c>
      <c r="AB353" s="105">
        <v>250.39</v>
      </c>
      <c r="AC353" s="1"/>
      <c r="AD353" s="1"/>
      <c r="AE353" s="1"/>
      <c r="AF353" s="1"/>
      <c r="AG353" s="1"/>
    </row>
    <row r="354">
      <c r="A354" s="1"/>
      <c r="B354" s="1"/>
      <c r="C354" s="75"/>
      <c r="D354" s="1"/>
      <c r="E354" s="1"/>
      <c r="F354" s="1"/>
      <c r="G354" s="1"/>
      <c r="H354" s="1"/>
      <c r="I354" s="76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01" t="s">
        <v>742</v>
      </c>
      <c r="V354" s="91" t="s">
        <v>743</v>
      </c>
      <c r="W354" s="142">
        <v>16.0</v>
      </c>
      <c r="X354" s="142">
        <v>64.0</v>
      </c>
      <c r="Y354" s="142">
        <v>900.0</v>
      </c>
      <c r="Z354" s="103">
        <f t="shared" si="9"/>
        <v>0.6666666667</v>
      </c>
      <c r="AA354" s="142" t="s">
        <v>284</v>
      </c>
      <c r="AB354" s="105">
        <v>500.05</v>
      </c>
      <c r="AC354" s="1"/>
      <c r="AD354" s="1"/>
      <c r="AE354" s="1"/>
      <c r="AF354" s="1"/>
      <c r="AG354" s="1"/>
    </row>
    <row r="355">
      <c r="A355" s="1"/>
      <c r="B355" s="1"/>
      <c r="C355" s="75"/>
      <c r="D355" s="1"/>
      <c r="E355" s="1"/>
      <c r="F355" s="1"/>
      <c r="G355" s="1"/>
      <c r="H355" s="1"/>
      <c r="I355" s="76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01" t="s">
        <v>738</v>
      </c>
      <c r="V355" s="91" t="s">
        <v>744</v>
      </c>
      <c r="W355" s="142">
        <v>32.0</v>
      </c>
      <c r="X355" s="142">
        <v>128.0</v>
      </c>
      <c r="Y355" s="142">
        <v>900.0</v>
      </c>
      <c r="Z355" s="103">
        <f>4/3</f>
        <v>1.333333333</v>
      </c>
      <c r="AA355" s="142" t="s">
        <v>208</v>
      </c>
      <c r="AB355" s="105">
        <v>1000.83</v>
      </c>
      <c r="AC355" s="1"/>
      <c r="AD355" s="1"/>
      <c r="AE355" s="1"/>
      <c r="AF355" s="1"/>
      <c r="AG355" s="1"/>
    </row>
    <row r="356">
      <c r="A356" s="1"/>
      <c r="B356" s="1"/>
      <c r="C356" s="75"/>
      <c r="D356" s="1"/>
      <c r="E356" s="1"/>
      <c r="F356" s="1"/>
      <c r="G356" s="1"/>
      <c r="H356" s="1"/>
      <c r="I356" s="76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01" t="s">
        <v>738</v>
      </c>
      <c r="V356" s="91" t="s">
        <v>745</v>
      </c>
      <c r="W356" s="142">
        <v>48.0</v>
      </c>
      <c r="X356" s="142">
        <v>192.0</v>
      </c>
      <c r="Y356" s="142">
        <v>900.0</v>
      </c>
      <c r="Z356" s="103">
        <v>2.0</v>
      </c>
      <c r="AA356" s="142" t="s">
        <v>294</v>
      </c>
      <c r="AB356" s="105">
        <v>1500.88</v>
      </c>
      <c r="AC356" s="1"/>
      <c r="AD356" s="1"/>
      <c r="AE356" s="1"/>
      <c r="AF356" s="1"/>
      <c r="AG356" s="1"/>
    </row>
    <row r="357">
      <c r="A357" s="1"/>
      <c r="B357" s="1"/>
      <c r="C357" s="75"/>
      <c r="D357" s="1"/>
      <c r="E357" s="1"/>
      <c r="F357" s="1"/>
      <c r="G357" s="1"/>
      <c r="H357" s="1"/>
      <c r="I357" s="76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01" t="s">
        <v>738</v>
      </c>
      <c r="V357" s="91" t="s">
        <v>746</v>
      </c>
      <c r="W357" s="142">
        <v>64.0</v>
      </c>
      <c r="X357" s="142">
        <v>256.0</v>
      </c>
      <c r="Y357" s="142">
        <v>900.0</v>
      </c>
      <c r="Z357" s="103">
        <f>8/3</f>
        <v>2.666666667</v>
      </c>
      <c r="AA357" s="142" t="s">
        <v>364</v>
      </c>
      <c r="AB357" s="105">
        <v>2001.66</v>
      </c>
      <c r="AC357" s="1"/>
      <c r="AD357" s="1"/>
      <c r="AE357" s="1"/>
      <c r="AF357" s="1"/>
      <c r="AG357" s="1"/>
    </row>
    <row r="358">
      <c r="A358" s="1"/>
      <c r="B358" s="1"/>
      <c r="C358" s="75"/>
      <c r="D358" s="1"/>
      <c r="E358" s="1"/>
      <c r="F358" s="1"/>
      <c r="G358" s="1"/>
      <c r="H358" s="1"/>
      <c r="I358" s="76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01" t="s">
        <v>738</v>
      </c>
      <c r="V358" s="91" t="s">
        <v>747</v>
      </c>
      <c r="W358" s="142">
        <v>96.0</v>
      </c>
      <c r="X358" s="142">
        <v>384.0</v>
      </c>
      <c r="Y358" s="142">
        <v>900.0</v>
      </c>
      <c r="Z358" s="103">
        <v>4.0</v>
      </c>
      <c r="AA358" s="142" t="s">
        <v>296</v>
      </c>
      <c r="AB358" s="105">
        <v>3002.49</v>
      </c>
      <c r="AC358" s="1"/>
      <c r="AD358" s="1"/>
      <c r="AE358" s="1"/>
      <c r="AF358" s="1"/>
      <c r="AG358" s="1"/>
    </row>
    <row r="359">
      <c r="A359" s="1"/>
      <c r="B359" s="1"/>
      <c r="C359" s="75"/>
      <c r="D359" s="1"/>
      <c r="E359" s="1"/>
      <c r="F359" s="1"/>
      <c r="G359" s="1"/>
      <c r="H359" s="1"/>
      <c r="I359" s="76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01" t="s">
        <v>748</v>
      </c>
      <c r="V359" s="91" t="s">
        <v>749</v>
      </c>
      <c r="W359" s="142">
        <v>2.0</v>
      </c>
      <c r="X359" s="142">
        <v>8.0</v>
      </c>
      <c r="Y359" s="142">
        <v>0.0</v>
      </c>
      <c r="Z359" s="103">
        <v>0.0</v>
      </c>
      <c r="AA359" s="142" t="s">
        <v>284</v>
      </c>
      <c r="AB359" s="105">
        <v>54.75</v>
      </c>
      <c r="AC359" s="1"/>
      <c r="AD359" s="1"/>
      <c r="AE359" s="1"/>
      <c r="AF359" s="1"/>
      <c r="AG359" s="1"/>
    </row>
    <row r="360">
      <c r="A360" s="1"/>
      <c r="B360" s="1"/>
      <c r="C360" s="75"/>
      <c r="D360" s="1"/>
      <c r="E360" s="1"/>
      <c r="F360" s="1"/>
      <c r="G360" s="1"/>
      <c r="H360" s="1"/>
      <c r="I360" s="76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01" t="s">
        <v>750</v>
      </c>
      <c r="V360" s="91" t="s">
        <v>751</v>
      </c>
      <c r="W360" s="142">
        <v>4.0</v>
      </c>
      <c r="X360" s="142">
        <v>16.0</v>
      </c>
      <c r="Y360" s="142">
        <v>0.0</v>
      </c>
      <c r="Z360" s="103">
        <v>0.0</v>
      </c>
      <c r="AA360" s="142" t="s">
        <v>284</v>
      </c>
      <c r="AB360" s="105">
        <v>109.5</v>
      </c>
      <c r="AC360" s="1"/>
      <c r="AD360" s="1"/>
      <c r="AE360" s="1"/>
      <c r="AF360" s="1"/>
      <c r="AG360" s="1"/>
    </row>
    <row r="361">
      <c r="A361" s="1"/>
      <c r="B361" s="1"/>
      <c r="C361" s="75"/>
      <c r="D361" s="1"/>
      <c r="E361" s="1"/>
      <c r="F361" s="1"/>
      <c r="G361" s="1"/>
      <c r="H361" s="1"/>
      <c r="I361" s="76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01" t="s">
        <v>750</v>
      </c>
      <c r="V361" s="91" t="s">
        <v>752</v>
      </c>
      <c r="W361" s="142">
        <v>8.0</v>
      </c>
      <c r="X361" s="142">
        <v>32.0</v>
      </c>
      <c r="Y361" s="142">
        <v>0.0</v>
      </c>
      <c r="Z361" s="103">
        <v>0.0</v>
      </c>
      <c r="AA361" s="142" t="s">
        <v>284</v>
      </c>
      <c r="AB361" s="105">
        <v>219.0</v>
      </c>
      <c r="AC361" s="1"/>
      <c r="AD361" s="1"/>
      <c r="AE361" s="1"/>
      <c r="AF361" s="1"/>
      <c r="AG361" s="1"/>
    </row>
    <row r="362">
      <c r="A362" s="1"/>
      <c r="B362" s="1"/>
      <c r="C362" s="75"/>
      <c r="D362" s="1"/>
      <c r="E362" s="1"/>
      <c r="F362" s="1"/>
      <c r="G362" s="1"/>
      <c r="H362" s="1"/>
      <c r="I362" s="76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01" t="s">
        <v>750</v>
      </c>
      <c r="V362" s="91" t="s">
        <v>753</v>
      </c>
      <c r="W362" s="142">
        <v>16.0</v>
      </c>
      <c r="X362" s="142">
        <v>64.0</v>
      </c>
      <c r="Y362" s="142">
        <v>0.0</v>
      </c>
      <c r="Z362" s="103">
        <v>0.0</v>
      </c>
      <c r="AA362" s="142" t="s">
        <v>284</v>
      </c>
      <c r="AB362" s="105">
        <v>438.0</v>
      </c>
      <c r="AC362" s="1"/>
      <c r="AD362" s="1"/>
      <c r="AE362" s="1"/>
      <c r="AF362" s="1"/>
      <c r="AG362" s="1"/>
    </row>
    <row r="363">
      <c r="A363" s="1"/>
      <c r="B363" s="1"/>
      <c r="C363" s="75"/>
      <c r="D363" s="1"/>
      <c r="E363" s="1"/>
      <c r="F363" s="1"/>
      <c r="G363" s="1"/>
      <c r="H363" s="1"/>
      <c r="I363" s="76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01" t="s">
        <v>750</v>
      </c>
      <c r="V363" s="91" t="s">
        <v>754</v>
      </c>
      <c r="W363" s="142">
        <v>32.0</v>
      </c>
      <c r="X363" s="142">
        <v>128.0</v>
      </c>
      <c r="Y363" s="142">
        <v>0.0</v>
      </c>
      <c r="Z363" s="103">
        <v>0.0</v>
      </c>
      <c r="AA363" s="142" t="s">
        <v>208</v>
      </c>
      <c r="AB363" s="105">
        <v>876.0</v>
      </c>
      <c r="AC363" s="1"/>
      <c r="AD363" s="1"/>
      <c r="AE363" s="1"/>
      <c r="AF363" s="1"/>
      <c r="AG363" s="1"/>
    </row>
    <row r="364">
      <c r="A364" s="1"/>
      <c r="B364" s="1"/>
      <c r="C364" s="75"/>
      <c r="D364" s="1"/>
      <c r="E364" s="1"/>
      <c r="F364" s="1"/>
      <c r="G364" s="1"/>
      <c r="H364" s="1"/>
      <c r="I364" s="76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01" t="s">
        <v>750</v>
      </c>
      <c r="V364" s="91" t="s">
        <v>755</v>
      </c>
      <c r="W364" s="142">
        <v>48.0</v>
      </c>
      <c r="X364" s="142">
        <v>192.0</v>
      </c>
      <c r="Y364" s="142">
        <v>0.0</v>
      </c>
      <c r="Z364" s="103">
        <v>0.0</v>
      </c>
      <c r="AA364" s="142" t="s">
        <v>294</v>
      </c>
      <c r="AB364" s="105">
        <v>1313.27</v>
      </c>
      <c r="AC364" s="1"/>
      <c r="AD364" s="1"/>
      <c r="AE364" s="1"/>
      <c r="AF364" s="1"/>
      <c r="AG364" s="1"/>
    </row>
    <row r="365">
      <c r="A365" s="1"/>
      <c r="B365" s="1"/>
      <c r="C365" s="75"/>
      <c r="D365" s="1"/>
      <c r="E365" s="1"/>
      <c r="F365" s="1"/>
      <c r="G365" s="1"/>
      <c r="H365" s="1"/>
      <c r="I365" s="76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01" t="s">
        <v>750</v>
      </c>
      <c r="V365" s="91" t="s">
        <v>756</v>
      </c>
      <c r="W365" s="142">
        <v>64.0</v>
      </c>
      <c r="X365" s="142">
        <v>256.0</v>
      </c>
      <c r="Y365" s="142">
        <v>0.0</v>
      </c>
      <c r="Z365" s="103">
        <v>0.0</v>
      </c>
      <c r="AA365" s="142" t="s">
        <v>364</v>
      </c>
      <c r="AB365" s="105">
        <v>1751.27</v>
      </c>
      <c r="AC365" s="1"/>
      <c r="AD365" s="1"/>
      <c r="AE365" s="1"/>
      <c r="AF365" s="1"/>
      <c r="AG365" s="1"/>
    </row>
    <row r="366">
      <c r="A366" s="1"/>
      <c r="B366" s="1"/>
      <c r="C366" s="75"/>
      <c r="D366" s="1"/>
      <c r="E366" s="1"/>
      <c r="F366" s="1"/>
      <c r="G366" s="1"/>
      <c r="H366" s="1"/>
      <c r="I366" s="76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01" t="s">
        <v>750</v>
      </c>
      <c r="V366" s="91" t="s">
        <v>757</v>
      </c>
      <c r="W366" s="142">
        <v>96.0</v>
      </c>
      <c r="X366" s="142">
        <v>384.0</v>
      </c>
      <c r="Y366" s="142">
        <v>0.0</v>
      </c>
      <c r="Z366" s="103">
        <v>0.0</v>
      </c>
      <c r="AA366" s="142" t="s">
        <v>296</v>
      </c>
      <c r="AB366" s="105">
        <v>2627.27</v>
      </c>
      <c r="AC366" s="1"/>
      <c r="AD366" s="1"/>
      <c r="AE366" s="1"/>
      <c r="AF366" s="1"/>
      <c r="AG366" s="1"/>
    </row>
    <row r="367">
      <c r="A367" s="1"/>
      <c r="B367" s="1"/>
      <c r="C367" s="75"/>
      <c r="D367" s="1"/>
      <c r="E367" s="1"/>
      <c r="F367" s="1"/>
      <c r="G367" s="1"/>
      <c r="H367" s="1"/>
      <c r="I367" s="76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01" t="s">
        <v>758</v>
      </c>
      <c r="V367" s="91" t="s">
        <v>759</v>
      </c>
      <c r="W367" s="142">
        <v>2.0</v>
      </c>
      <c r="X367" s="142">
        <v>8.0</v>
      </c>
      <c r="Y367" s="142">
        <v>0.0</v>
      </c>
      <c r="Z367" s="103">
        <v>0.0</v>
      </c>
      <c r="AA367" s="142" t="s">
        <v>284</v>
      </c>
      <c r="AB367" s="105">
        <v>75.99</v>
      </c>
      <c r="AC367" s="1"/>
      <c r="AD367" s="1"/>
      <c r="AE367" s="1"/>
      <c r="AF367" s="1"/>
      <c r="AG367" s="1"/>
    </row>
    <row r="368">
      <c r="A368" s="1"/>
      <c r="B368" s="1"/>
      <c r="C368" s="75"/>
      <c r="D368" s="1"/>
      <c r="E368" s="1"/>
      <c r="F368" s="1"/>
      <c r="G368" s="1"/>
      <c r="H368" s="1"/>
      <c r="I368" s="76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01" t="s">
        <v>760</v>
      </c>
      <c r="V368" s="91" t="s">
        <v>761</v>
      </c>
      <c r="W368" s="142">
        <v>4.0</v>
      </c>
      <c r="X368" s="142">
        <v>16.0</v>
      </c>
      <c r="Y368" s="142">
        <v>0.0</v>
      </c>
      <c r="Z368" s="103">
        <v>0.0</v>
      </c>
      <c r="AA368" s="142" t="s">
        <v>284</v>
      </c>
      <c r="AB368" s="105">
        <v>151.91</v>
      </c>
      <c r="AC368" s="1"/>
      <c r="AD368" s="1"/>
      <c r="AE368" s="1"/>
      <c r="AF368" s="1"/>
      <c r="AG368" s="1"/>
    </row>
    <row r="369">
      <c r="A369" s="1"/>
      <c r="B369" s="1"/>
      <c r="C369" s="75"/>
      <c r="D369" s="1"/>
      <c r="E369" s="1"/>
      <c r="F369" s="1"/>
      <c r="G369" s="1"/>
      <c r="H369" s="1"/>
      <c r="I369" s="76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01" t="s">
        <v>760</v>
      </c>
      <c r="V369" s="91" t="s">
        <v>762</v>
      </c>
      <c r="W369" s="142">
        <v>8.0</v>
      </c>
      <c r="X369" s="142">
        <v>32.0</v>
      </c>
      <c r="Y369" s="142">
        <v>0.0</v>
      </c>
      <c r="Z369" s="103">
        <v>0.0</v>
      </c>
      <c r="AA369" s="142" t="s">
        <v>284</v>
      </c>
      <c r="AB369" s="105">
        <v>303.83</v>
      </c>
      <c r="AC369" s="1"/>
      <c r="AD369" s="1"/>
      <c r="AE369" s="1"/>
      <c r="AF369" s="1"/>
      <c r="AG369" s="1"/>
    </row>
    <row r="370">
      <c r="A370" s="1"/>
      <c r="B370" s="1"/>
      <c r="C370" s="75"/>
      <c r="D370" s="1"/>
      <c r="E370" s="1"/>
      <c r="F370" s="1"/>
      <c r="G370" s="1"/>
      <c r="H370" s="1"/>
      <c r="I370" s="76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01" t="s">
        <v>760</v>
      </c>
      <c r="V370" s="91" t="s">
        <v>763</v>
      </c>
      <c r="W370" s="142">
        <v>12.0</v>
      </c>
      <c r="X370" s="142">
        <v>48.0</v>
      </c>
      <c r="Y370" s="142">
        <v>0.0</v>
      </c>
      <c r="Z370" s="103">
        <v>0.0</v>
      </c>
      <c r="AA370" s="142" t="s">
        <v>284</v>
      </c>
      <c r="AB370" s="105">
        <v>455.74</v>
      </c>
      <c r="AC370" s="1"/>
      <c r="AD370" s="1"/>
      <c r="AE370" s="1"/>
      <c r="AF370" s="1"/>
      <c r="AG370" s="1"/>
    </row>
    <row r="371">
      <c r="A371" s="1"/>
      <c r="B371" s="1"/>
      <c r="C371" s="75"/>
      <c r="D371" s="1"/>
      <c r="E371" s="1"/>
      <c r="F371" s="1"/>
      <c r="G371" s="1"/>
      <c r="H371" s="1"/>
      <c r="I371" s="76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01" t="s">
        <v>760</v>
      </c>
      <c r="V371" s="91" t="s">
        <v>764</v>
      </c>
      <c r="W371" s="142">
        <v>24.0</v>
      </c>
      <c r="X371" s="142">
        <v>96.0</v>
      </c>
      <c r="Y371" s="142">
        <v>0.0</v>
      </c>
      <c r="Z371" s="103">
        <v>0.0</v>
      </c>
      <c r="AA371" s="142" t="s">
        <v>294</v>
      </c>
      <c r="AB371" s="105">
        <v>911.55</v>
      </c>
      <c r="AC371" s="1"/>
      <c r="AD371" s="1"/>
      <c r="AE371" s="1"/>
      <c r="AF371" s="1"/>
      <c r="AG371" s="1"/>
    </row>
    <row r="372">
      <c r="A372" s="1"/>
      <c r="B372" s="1"/>
      <c r="C372" s="75"/>
      <c r="D372" s="1"/>
      <c r="E372" s="1"/>
      <c r="F372" s="1"/>
      <c r="G372" s="1"/>
      <c r="H372" s="1"/>
      <c r="I372" s="76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01" t="s">
        <v>760</v>
      </c>
      <c r="V372" s="91" t="s">
        <v>765</v>
      </c>
      <c r="W372" s="142">
        <v>48.0</v>
      </c>
      <c r="X372" s="142">
        <v>192.0</v>
      </c>
      <c r="Y372" s="142">
        <v>0.0</v>
      </c>
      <c r="Z372" s="103">
        <v>0.0</v>
      </c>
      <c r="AA372" s="142" t="s">
        <v>296</v>
      </c>
      <c r="AB372" s="105">
        <v>1823.1</v>
      </c>
      <c r="AC372" s="1"/>
      <c r="AD372" s="1"/>
      <c r="AE372" s="1"/>
      <c r="AF372" s="1"/>
      <c r="AG372" s="1"/>
    </row>
    <row r="373">
      <c r="A373" s="1"/>
      <c r="B373" s="1"/>
      <c r="C373" s="75"/>
      <c r="D373" s="1"/>
      <c r="E373" s="1"/>
      <c r="F373" s="1"/>
      <c r="G373" s="1"/>
      <c r="H373" s="1"/>
      <c r="I373" s="76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01" t="s">
        <v>766</v>
      </c>
      <c r="V373" s="91" t="s">
        <v>767</v>
      </c>
      <c r="W373" s="142">
        <v>2.0</v>
      </c>
      <c r="X373" s="142">
        <v>8.0</v>
      </c>
      <c r="Y373" s="142">
        <v>0.0</v>
      </c>
      <c r="Z373" s="103">
        <v>0.0</v>
      </c>
      <c r="AA373" s="142" t="s">
        <v>300</v>
      </c>
      <c r="AB373" s="105">
        <v>41.72</v>
      </c>
      <c r="AC373" s="1"/>
      <c r="AD373" s="1"/>
      <c r="AE373" s="1"/>
      <c r="AF373" s="1"/>
      <c r="AG373" s="1"/>
    </row>
    <row r="374">
      <c r="A374" s="1"/>
      <c r="B374" s="1"/>
      <c r="C374" s="75"/>
      <c r="D374" s="1"/>
      <c r="E374" s="1"/>
      <c r="F374" s="1"/>
      <c r="G374" s="1"/>
      <c r="H374" s="1"/>
      <c r="I374" s="76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01" t="s">
        <v>768</v>
      </c>
      <c r="V374" s="91" t="s">
        <v>769</v>
      </c>
      <c r="W374" s="142">
        <v>4.0</v>
      </c>
      <c r="X374" s="142">
        <v>16.0</v>
      </c>
      <c r="Y374" s="142">
        <v>0.0</v>
      </c>
      <c r="Z374" s="103">
        <v>0.0</v>
      </c>
      <c r="AA374" s="142" t="s">
        <v>300</v>
      </c>
      <c r="AB374" s="105">
        <v>83.45</v>
      </c>
      <c r="AC374" s="1"/>
      <c r="AD374" s="1"/>
      <c r="AE374" s="1"/>
      <c r="AF374" s="1"/>
      <c r="AG374" s="1"/>
    </row>
    <row r="375">
      <c r="A375" s="1"/>
      <c r="B375" s="1"/>
      <c r="C375" s="75"/>
      <c r="D375" s="1"/>
      <c r="E375" s="1"/>
      <c r="F375" s="1"/>
      <c r="G375" s="1"/>
      <c r="H375" s="1"/>
      <c r="I375" s="76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01" t="s">
        <v>768</v>
      </c>
      <c r="V375" s="91" t="s">
        <v>770</v>
      </c>
      <c r="W375" s="142">
        <v>8.0</v>
      </c>
      <c r="X375" s="142">
        <v>32.0</v>
      </c>
      <c r="Y375" s="142">
        <v>0.0</v>
      </c>
      <c r="Z375" s="103">
        <v>0.0</v>
      </c>
      <c r="AA375" s="142" t="s">
        <v>300</v>
      </c>
      <c r="AB375" s="105">
        <v>166.89</v>
      </c>
      <c r="AC375" s="1"/>
      <c r="AD375" s="1"/>
      <c r="AE375" s="1"/>
      <c r="AF375" s="1"/>
      <c r="AG375" s="1"/>
    </row>
    <row r="376">
      <c r="A376" s="1"/>
      <c r="B376" s="1"/>
      <c r="C376" s="75"/>
      <c r="D376" s="1"/>
      <c r="E376" s="1"/>
      <c r="F376" s="1"/>
      <c r="G376" s="1"/>
      <c r="H376" s="1"/>
      <c r="I376" s="76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01" t="s">
        <v>768</v>
      </c>
      <c r="V376" s="91" t="s">
        <v>771</v>
      </c>
      <c r="W376" s="142">
        <v>16.0</v>
      </c>
      <c r="X376" s="142">
        <v>64.0</v>
      </c>
      <c r="Y376" s="142">
        <v>0.0</v>
      </c>
      <c r="Z376" s="103">
        <v>0.0</v>
      </c>
      <c r="AA376" s="142" t="s">
        <v>300</v>
      </c>
      <c r="AB376" s="105">
        <v>333.78</v>
      </c>
      <c r="AC376" s="1"/>
      <c r="AD376" s="1"/>
      <c r="AE376" s="1"/>
      <c r="AF376" s="1"/>
      <c r="AG376" s="1"/>
    </row>
    <row r="377">
      <c r="A377" s="1"/>
      <c r="B377" s="1"/>
      <c r="C377" s="75"/>
      <c r="D377" s="1"/>
      <c r="E377" s="1"/>
      <c r="F377" s="1"/>
      <c r="G377" s="1"/>
      <c r="H377" s="1"/>
      <c r="I377" s="76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01" t="s">
        <v>768</v>
      </c>
      <c r="V377" s="91" t="s">
        <v>772</v>
      </c>
      <c r="W377" s="142">
        <v>32.0</v>
      </c>
      <c r="X377" s="142">
        <v>128.0</v>
      </c>
      <c r="Y377" s="142">
        <v>0.0</v>
      </c>
      <c r="Z377" s="103">
        <v>0.0</v>
      </c>
      <c r="AA377" s="142" t="s">
        <v>308</v>
      </c>
      <c r="AB377" s="105">
        <v>667.56</v>
      </c>
      <c r="AC377" s="1"/>
      <c r="AD377" s="1"/>
      <c r="AE377" s="1"/>
      <c r="AF377" s="1"/>
      <c r="AG377" s="1"/>
    </row>
    <row r="378">
      <c r="A378" s="1"/>
      <c r="B378" s="1"/>
      <c r="C378" s="75"/>
      <c r="D378" s="1"/>
      <c r="E378" s="1"/>
      <c r="F378" s="1"/>
      <c r="G378" s="1"/>
      <c r="H378" s="1"/>
      <c r="I378" s="76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01" t="s">
        <v>768</v>
      </c>
      <c r="V378" s="91" t="s">
        <v>773</v>
      </c>
      <c r="W378" s="142">
        <v>48.0</v>
      </c>
      <c r="X378" s="142">
        <v>192.0</v>
      </c>
      <c r="Y378" s="142">
        <v>0.0</v>
      </c>
      <c r="Z378" s="103">
        <v>0.0</v>
      </c>
      <c r="AA378" s="142" t="s">
        <v>311</v>
      </c>
      <c r="AB378" s="105">
        <v>1001.33</v>
      </c>
      <c r="AC378" s="1"/>
      <c r="AD378" s="1"/>
      <c r="AE378" s="1"/>
      <c r="AF378" s="1"/>
      <c r="AG378" s="1"/>
    </row>
    <row r="379">
      <c r="A379" s="1"/>
      <c r="B379" s="1"/>
      <c r="C379" s="75"/>
      <c r="D379" s="1"/>
      <c r="E379" s="1"/>
      <c r="F379" s="1"/>
      <c r="G379" s="1"/>
      <c r="H379" s="1"/>
      <c r="I379" s="76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01" t="s">
        <v>768</v>
      </c>
      <c r="V379" s="91" t="s">
        <v>774</v>
      </c>
      <c r="W379" s="142">
        <v>64.0</v>
      </c>
      <c r="X379" s="142">
        <v>256.0</v>
      </c>
      <c r="Y379" s="142">
        <v>0.0</v>
      </c>
      <c r="Z379" s="103">
        <v>0.0</v>
      </c>
      <c r="AA379" s="142" t="s">
        <v>208</v>
      </c>
      <c r="AB379" s="105">
        <v>1335.11</v>
      </c>
      <c r="AC379" s="1"/>
      <c r="AD379" s="1"/>
      <c r="AE379" s="1"/>
      <c r="AF379" s="1"/>
      <c r="AG379" s="1"/>
    </row>
    <row r="380">
      <c r="A380" s="1"/>
      <c r="B380" s="1"/>
      <c r="C380" s="75"/>
      <c r="D380" s="1"/>
      <c r="E380" s="1"/>
      <c r="F380" s="1"/>
      <c r="G380" s="1"/>
      <c r="H380" s="1"/>
      <c r="I380" s="76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01" t="s">
        <v>768</v>
      </c>
      <c r="V380" s="91" t="s">
        <v>775</v>
      </c>
      <c r="W380" s="142">
        <v>96.0</v>
      </c>
      <c r="X380" s="142">
        <v>384.0</v>
      </c>
      <c r="Y380" s="142">
        <v>0.0</v>
      </c>
      <c r="Z380" s="103">
        <v>0.0</v>
      </c>
      <c r="AA380" s="142" t="s">
        <v>315</v>
      </c>
      <c r="AB380" s="105">
        <v>2002.66</v>
      </c>
      <c r="AC380" s="1"/>
      <c r="AD380" s="1"/>
      <c r="AE380" s="1"/>
      <c r="AF380" s="1"/>
      <c r="AG380" s="1"/>
    </row>
    <row r="381">
      <c r="A381" s="1"/>
      <c r="B381" s="1"/>
      <c r="C381" s="75"/>
      <c r="D381" s="1"/>
      <c r="E381" s="1"/>
      <c r="F381" s="1"/>
      <c r="G381" s="1"/>
      <c r="H381" s="1"/>
      <c r="I381" s="76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01" t="s">
        <v>768</v>
      </c>
      <c r="V381" s="91" t="s">
        <v>776</v>
      </c>
      <c r="W381" s="142">
        <v>128.0</v>
      </c>
      <c r="X381" s="142">
        <v>512.0</v>
      </c>
      <c r="Y381" s="142">
        <v>0.0</v>
      </c>
      <c r="Z381" s="103">
        <v>0.0</v>
      </c>
      <c r="AA381" s="142" t="s">
        <v>294</v>
      </c>
      <c r="AB381" s="105">
        <v>2670.22</v>
      </c>
      <c r="AC381" s="1"/>
      <c r="AD381" s="1"/>
      <c r="AE381" s="1"/>
      <c r="AF381" s="1"/>
      <c r="AG381" s="1"/>
    </row>
    <row r="382">
      <c r="A382" s="1"/>
      <c r="B382" s="1"/>
      <c r="C382" s="75"/>
      <c r="D382" s="1"/>
      <c r="E382" s="1"/>
      <c r="F382" s="1"/>
      <c r="G382" s="1"/>
      <c r="H382" s="1"/>
      <c r="I382" s="76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01" t="s">
        <v>768</v>
      </c>
      <c r="V382" s="91" t="s">
        <v>777</v>
      </c>
      <c r="W382" s="142">
        <v>192.0</v>
      </c>
      <c r="X382" s="142">
        <v>768.0</v>
      </c>
      <c r="Y382" s="142">
        <v>0.0</v>
      </c>
      <c r="Z382" s="103">
        <v>0.0</v>
      </c>
      <c r="AA382" s="142" t="s">
        <v>294</v>
      </c>
      <c r="AB382" s="105">
        <v>4005.33</v>
      </c>
      <c r="AC382" s="1"/>
      <c r="AD382" s="1"/>
      <c r="AE382" s="1"/>
      <c r="AF382" s="1"/>
      <c r="AG382" s="1"/>
    </row>
    <row r="383">
      <c r="A383" s="1"/>
      <c r="B383" s="1"/>
      <c r="C383" s="75"/>
      <c r="D383" s="1"/>
      <c r="E383" s="1"/>
      <c r="F383" s="1"/>
      <c r="G383" s="1"/>
      <c r="H383" s="1"/>
      <c r="I383" s="76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01" t="s">
        <v>778</v>
      </c>
      <c r="V383" s="91" t="s">
        <v>779</v>
      </c>
      <c r="W383" s="142">
        <v>1.0</v>
      </c>
      <c r="X383" s="142">
        <v>4.0</v>
      </c>
      <c r="Y383" s="142">
        <v>0.0</v>
      </c>
      <c r="Z383" s="103">
        <v>0.0</v>
      </c>
      <c r="AA383" s="142" t="s">
        <v>105</v>
      </c>
      <c r="AB383" s="105">
        <v>17.59</v>
      </c>
      <c r="AC383" s="1"/>
      <c r="AD383" s="1"/>
      <c r="AE383" s="1"/>
      <c r="AF383" s="1"/>
      <c r="AG383" s="1"/>
    </row>
    <row r="384">
      <c r="A384" s="1"/>
      <c r="B384" s="1"/>
      <c r="C384" s="75"/>
      <c r="D384" s="1"/>
      <c r="E384" s="1"/>
      <c r="F384" s="1"/>
      <c r="G384" s="1"/>
      <c r="H384" s="1"/>
      <c r="I384" s="76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01" t="s">
        <v>780</v>
      </c>
      <c r="V384" s="91" t="s">
        <v>781</v>
      </c>
      <c r="W384" s="142">
        <v>2.0</v>
      </c>
      <c r="X384" s="142">
        <v>8.0</v>
      </c>
      <c r="Y384" s="142">
        <v>0.0</v>
      </c>
      <c r="Z384" s="103">
        <v>0.0</v>
      </c>
      <c r="AA384" s="142" t="s">
        <v>105</v>
      </c>
      <c r="AB384" s="105">
        <v>35.26</v>
      </c>
      <c r="AC384" s="1"/>
      <c r="AD384" s="1"/>
      <c r="AE384" s="1"/>
      <c r="AF384" s="1"/>
      <c r="AG384" s="1"/>
    </row>
    <row r="385">
      <c r="A385" s="1"/>
      <c r="B385" s="1"/>
      <c r="C385" s="75"/>
      <c r="D385" s="1"/>
      <c r="E385" s="1"/>
      <c r="F385" s="1"/>
      <c r="G385" s="1"/>
      <c r="H385" s="1"/>
      <c r="I385" s="76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01" t="s">
        <v>780</v>
      </c>
      <c r="V385" s="91" t="s">
        <v>782</v>
      </c>
      <c r="W385" s="142">
        <v>4.0</v>
      </c>
      <c r="X385" s="142">
        <v>16.0</v>
      </c>
      <c r="Y385" s="142">
        <v>0.0</v>
      </c>
      <c r="Z385" s="103">
        <v>0.0</v>
      </c>
      <c r="AA385" s="142" t="s">
        <v>105</v>
      </c>
      <c r="AB385" s="105">
        <v>70.52</v>
      </c>
      <c r="AC385" s="1"/>
      <c r="AD385" s="1"/>
      <c r="AE385" s="1"/>
      <c r="AF385" s="1"/>
      <c r="AG385" s="1"/>
    </row>
    <row r="386">
      <c r="A386" s="1"/>
      <c r="B386" s="1"/>
      <c r="C386" s="75"/>
      <c r="D386" s="1"/>
      <c r="E386" s="1"/>
      <c r="F386" s="1"/>
      <c r="G386" s="1"/>
      <c r="H386" s="1"/>
      <c r="I386" s="76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01" t="s">
        <v>780</v>
      </c>
      <c r="V386" s="91" t="s">
        <v>783</v>
      </c>
      <c r="W386" s="142">
        <v>8.0</v>
      </c>
      <c r="X386" s="142">
        <v>32.0</v>
      </c>
      <c r="Y386" s="142">
        <v>0.0</v>
      </c>
      <c r="Z386" s="103">
        <v>0.0</v>
      </c>
      <c r="AA386" s="142" t="s">
        <v>105</v>
      </c>
      <c r="AB386" s="105">
        <v>141.04</v>
      </c>
      <c r="AC386" s="1"/>
      <c r="AD386" s="1"/>
      <c r="AE386" s="1"/>
      <c r="AF386" s="1"/>
      <c r="AG386" s="1"/>
    </row>
    <row r="387">
      <c r="A387" s="1"/>
      <c r="B387" s="1"/>
      <c r="C387" s="75"/>
      <c r="D387" s="1"/>
      <c r="E387" s="1"/>
      <c r="F387" s="1"/>
      <c r="G387" s="1"/>
      <c r="H387" s="1"/>
      <c r="I387" s="76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01" t="s">
        <v>780</v>
      </c>
      <c r="V387" s="91" t="s">
        <v>784</v>
      </c>
      <c r="W387" s="142">
        <v>16.0</v>
      </c>
      <c r="X387" s="142">
        <v>64.0</v>
      </c>
      <c r="Y387" s="142">
        <v>0.0</v>
      </c>
      <c r="Z387" s="103">
        <v>0.0</v>
      </c>
      <c r="AA387" s="142" t="s">
        <v>105</v>
      </c>
      <c r="AB387" s="105">
        <v>282.07</v>
      </c>
      <c r="AC387" s="1"/>
      <c r="AD387" s="1"/>
      <c r="AE387" s="1"/>
      <c r="AF387" s="1"/>
      <c r="AG387" s="1"/>
    </row>
    <row r="388">
      <c r="A388" s="1"/>
      <c r="B388" s="1"/>
      <c r="C388" s="75"/>
      <c r="D388" s="1"/>
      <c r="E388" s="1"/>
      <c r="F388" s="1"/>
      <c r="G388" s="1"/>
      <c r="H388" s="1"/>
      <c r="I388" s="76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01" t="s">
        <v>780</v>
      </c>
      <c r="V388" s="91" t="s">
        <v>785</v>
      </c>
      <c r="W388" s="142">
        <v>32.0</v>
      </c>
      <c r="X388" s="142">
        <v>128.0</v>
      </c>
      <c r="Y388" s="142">
        <v>0.0</v>
      </c>
      <c r="Z388" s="103">
        <v>0.0</v>
      </c>
      <c r="AA388" s="142" t="s">
        <v>198</v>
      </c>
      <c r="AB388" s="105">
        <v>564.14</v>
      </c>
      <c r="AC388" s="1"/>
      <c r="AD388" s="1"/>
      <c r="AE388" s="1"/>
      <c r="AF388" s="1"/>
      <c r="AG388" s="1"/>
    </row>
    <row r="389">
      <c r="A389" s="1"/>
      <c r="B389" s="1"/>
      <c r="C389" s="75"/>
      <c r="D389" s="1"/>
      <c r="E389" s="1"/>
      <c r="F389" s="1"/>
      <c r="G389" s="1"/>
      <c r="H389" s="1"/>
      <c r="I389" s="76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01" t="s">
        <v>780</v>
      </c>
      <c r="V389" s="91" t="s">
        <v>786</v>
      </c>
      <c r="W389" s="142">
        <v>48.0</v>
      </c>
      <c r="X389" s="142">
        <v>192.0</v>
      </c>
      <c r="Y389" s="142">
        <v>0.0</v>
      </c>
      <c r="Z389" s="103">
        <v>0.0</v>
      </c>
      <c r="AA389" s="142" t="s">
        <v>236</v>
      </c>
      <c r="AB389" s="105">
        <v>846.22</v>
      </c>
      <c r="AC389" s="1"/>
      <c r="AD389" s="1"/>
      <c r="AE389" s="1"/>
      <c r="AF389" s="1"/>
      <c r="AG389" s="1"/>
    </row>
    <row r="390">
      <c r="A390" s="1"/>
      <c r="B390" s="1"/>
      <c r="C390" s="75"/>
      <c r="D390" s="1"/>
      <c r="E390" s="1"/>
      <c r="F390" s="1"/>
      <c r="G390" s="1"/>
      <c r="H390" s="1"/>
      <c r="I390" s="76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01" t="s">
        <v>780</v>
      </c>
      <c r="V390" s="91" t="s">
        <v>787</v>
      </c>
      <c r="W390" s="142">
        <v>64.0</v>
      </c>
      <c r="X390" s="142">
        <v>256.0</v>
      </c>
      <c r="Y390" s="142">
        <v>0.0</v>
      </c>
      <c r="Z390" s="103">
        <v>0.0</v>
      </c>
      <c r="AA390" s="142" t="s">
        <v>208</v>
      </c>
      <c r="AB390" s="105">
        <v>1128.29</v>
      </c>
      <c r="AC390" s="1"/>
      <c r="AD390" s="1"/>
      <c r="AE390" s="1"/>
      <c r="AF390" s="1"/>
      <c r="AG390" s="1"/>
    </row>
    <row r="391">
      <c r="A391" s="1"/>
      <c r="B391" s="1"/>
      <c r="C391" s="75"/>
      <c r="D391" s="1"/>
      <c r="E391" s="1"/>
      <c r="F391" s="1"/>
      <c r="G391" s="1"/>
      <c r="H391" s="1"/>
      <c r="I391" s="76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01" t="s">
        <v>788</v>
      </c>
      <c r="V391" s="91" t="s">
        <v>789</v>
      </c>
      <c r="W391" s="142">
        <v>1.0</v>
      </c>
      <c r="X391" s="142">
        <v>4.0</v>
      </c>
      <c r="Y391" s="142">
        <v>1900.0</v>
      </c>
      <c r="Z391" s="103">
        <f t="shared" ref="Z391:Z392" si="10">Z392/2</f>
        <v>0.03125</v>
      </c>
      <c r="AA391" s="142" t="s">
        <v>105</v>
      </c>
      <c r="AB391" s="105">
        <v>20.81</v>
      </c>
      <c r="AC391" s="1"/>
      <c r="AD391" s="1"/>
      <c r="AE391" s="1"/>
      <c r="AF391" s="1"/>
      <c r="AG391" s="1"/>
    </row>
    <row r="392">
      <c r="A392" s="1"/>
      <c r="B392" s="1"/>
      <c r="C392" s="75"/>
      <c r="D392" s="1"/>
      <c r="E392" s="1"/>
      <c r="F392" s="1"/>
      <c r="G392" s="1"/>
      <c r="H392" s="1"/>
      <c r="I392" s="76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01" t="s">
        <v>788</v>
      </c>
      <c r="V392" s="91" t="s">
        <v>790</v>
      </c>
      <c r="W392" s="142">
        <v>2.0</v>
      </c>
      <c r="X392" s="142">
        <v>8.0</v>
      </c>
      <c r="Y392" s="142">
        <v>1900.0</v>
      </c>
      <c r="Z392" s="103">
        <f t="shared" si="10"/>
        <v>0.0625</v>
      </c>
      <c r="AA392" s="142" t="s">
        <v>105</v>
      </c>
      <c r="AB392" s="105">
        <v>41.61</v>
      </c>
      <c r="AC392" s="1"/>
      <c r="AD392" s="1"/>
      <c r="AE392" s="1"/>
      <c r="AF392" s="1"/>
      <c r="AG392" s="1"/>
    </row>
    <row r="393">
      <c r="A393" s="1"/>
      <c r="B393" s="1"/>
      <c r="C393" s="75"/>
      <c r="D393" s="1"/>
      <c r="E393" s="1"/>
      <c r="F393" s="1"/>
      <c r="G393" s="1"/>
      <c r="H393" s="1"/>
      <c r="I393" s="76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01" t="s">
        <v>788</v>
      </c>
      <c r="V393" s="91" t="s">
        <v>791</v>
      </c>
      <c r="W393" s="142">
        <v>4.0</v>
      </c>
      <c r="X393" s="142">
        <v>16.0</v>
      </c>
      <c r="Y393" s="142">
        <v>1900.0</v>
      </c>
      <c r="Z393" s="103">
        <v>0.125</v>
      </c>
      <c r="AA393" s="142" t="s">
        <v>105</v>
      </c>
      <c r="AB393" s="105">
        <v>83.15</v>
      </c>
      <c r="AC393" s="1"/>
      <c r="AD393" s="1"/>
      <c r="AE393" s="1"/>
      <c r="AF393" s="1"/>
      <c r="AG393" s="1"/>
    </row>
    <row r="394">
      <c r="A394" s="1"/>
      <c r="B394" s="1"/>
      <c r="C394" s="75"/>
      <c r="D394" s="1"/>
      <c r="E394" s="1"/>
      <c r="F394" s="1"/>
      <c r="G394" s="1"/>
      <c r="H394" s="1"/>
      <c r="I394" s="76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01" t="s">
        <v>788</v>
      </c>
      <c r="V394" s="91" t="s">
        <v>792</v>
      </c>
      <c r="W394" s="142">
        <v>8.0</v>
      </c>
      <c r="X394" s="142">
        <v>32.0</v>
      </c>
      <c r="Y394" s="142">
        <v>1900.0</v>
      </c>
      <c r="Z394" s="103">
        <v>0.25</v>
      </c>
      <c r="AA394" s="142" t="s">
        <v>105</v>
      </c>
      <c r="AB394" s="105">
        <v>166.29</v>
      </c>
      <c r="AC394" s="1"/>
      <c r="AD394" s="1"/>
      <c r="AE394" s="1"/>
      <c r="AF394" s="1"/>
      <c r="AG394" s="1"/>
    </row>
    <row r="395">
      <c r="A395" s="1"/>
      <c r="B395" s="1"/>
      <c r="C395" s="75"/>
      <c r="D395" s="1"/>
      <c r="E395" s="1"/>
      <c r="F395" s="1"/>
      <c r="G395" s="1"/>
      <c r="H395" s="1"/>
      <c r="I395" s="76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01" t="s">
        <v>793</v>
      </c>
      <c r="V395" s="91" t="s">
        <v>794</v>
      </c>
      <c r="W395" s="142">
        <v>16.0</v>
      </c>
      <c r="X395" s="142">
        <v>64.0</v>
      </c>
      <c r="Y395" s="142">
        <v>1900.0</v>
      </c>
      <c r="Z395" s="103">
        <v>0.5</v>
      </c>
      <c r="AA395" s="142" t="s">
        <v>105</v>
      </c>
      <c r="AB395" s="105">
        <v>332.59</v>
      </c>
      <c r="AC395" s="1"/>
      <c r="AD395" s="1"/>
      <c r="AE395" s="1"/>
      <c r="AF395" s="1"/>
      <c r="AG395" s="1"/>
    </row>
    <row r="396">
      <c r="A396" s="1"/>
      <c r="B396" s="1"/>
      <c r="C396" s="75"/>
      <c r="D396" s="1"/>
      <c r="E396" s="1"/>
      <c r="F396" s="1"/>
      <c r="G396" s="1"/>
      <c r="H396" s="1"/>
      <c r="I396" s="76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01" t="s">
        <v>788</v>
      </c>
      <c r="V396" s="91" t="s">
        <v>795</v>
      </c>
      <c r="W396" s="142">
        <v>32.0</v>
      </c>
      <c r="X396" s="142">
        <v>128.0</v>
      </c>
      <c r="Y396" s="142">
        <v>1900.0</v>
      </c>
      <c r="Z396" s="103">
        <v>1.0</v>
      </c>
      <c r="AA396" s="142" t="s">
        <v>198</v>
      </c>
      <c r="AB396" s="105">
        <v>665.18</v>
      </c>
      <c r="AC396" s="1"/>
      <c r="AD396" s="1"/>
      <c r="AE396" s="1"/>
      <c r="AF396" s="1"/>
      <c r="AG396" s="1"/>
    </row>
    <row r="397">
      <c r="A397" s="1"/>
      <c r="B397" s="1"/>
      <c r="C397" s="75"/>
      <c r="D397" s="1"/>
      <c r="E397" s="1"/>
      <c r="F397" s="1"/>
      <c r="G397" s="1"/>
      <c r="H397" s="1"/>
      <c r="I397" s="76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01" t="s">
        <v>788</v>
      </c>
      <c r="V397" s="91" t="s">
        <v>796</v>
      </c>
      <c r="W397" s="142">
        <v>48.0</v>
      </c>
      <c r="X397" s="142">
        <v>192.0</v>
      </c>
      <c r="Y397" s="142">
        <v>1900.0</v>
      </c>
      <c r="Z397" s="103">
        <f>2*1425/1900</f>
        <v>1.5</v>
      </c>
      <c r="AA397" s="142" t="s">
        <v>236</v>
      </c>
      <c r="AB397" s="105">
        <v>997.76</v>
      </c>
      <c r="AC397" s="1"/>
      <c r="AD397" s="1"/>
      <c r="AE397" s="1"/>
      <c r="AF397" s="1"/>
      <c r="AG397" s="1"/>
    </row>
    <row r="398">
      <c r="A398" s="1"/>
      <c r="B398" s="1"/>
      <c r="C398" s="75"/>
      <c r="D398" s="1"/>
      <c r="E398" s="1"/>
      <c r="F398" s="1"/>
      <c r="G398" s="1"/>
      <c r="H398" s="1"/>
      <c r="I398" s="76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01" t="s">
        <v>788</v>
      </c>
      <c r="V398" s="91" t="s">
        <v>797</v>
      </c>
      <c r="W398" s="142">
        <v>64.0</v>
      </c>
      <c r="X398" s="142">
        <v>256.0</v>
      </c>
      <c r="Y398" s="142">
        <v>1900.0</v>
      </c>
      <c r="Z398" s="103">
        <v>2.0</v>
      </c>
      <c r="AA398" s="142" t="s">
        <v>208</v>
      </c>
      <c r="AB398" s="105">
        <v>1330.43</v>
      </c>
      <c r="AC398" s="1"/>
      <c r="AD398" s="1"/>
      <c r="AE398" s="1"/>
      <c r="AF398" s="1"/>
      <c r="AG398" s="1"/>
    </row>
    <row r="399">
      <c r="A399" s="1"/>
      <c r="B399" s="1"/>
      <c r="C399" s="75"/>
      <c r="D399" s="1"/>
      <c r="E399" s="1"/>
      <c r="F399" s="1"/>
      <c r="G399" s="1"/>
      <c r="H399" s="1"/>
      <c r="I399" s="76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01" t="s">
        <v>798</v>
      </c>
      <c r="V399" s="91" t="s">
        <v>799</v>
      </c>
      <c r="W399" s="142">
        <v>2.0</v>
      </c>
      <c r="X399" s="142">
        <v>8.0</v>
      </c>
      <c r="Y399" s="142">
        <v>0.0</v>
      </c>
      <c r="Z399" s="103">
        <v>0.0</v>
      </c>
      <c r="AA399" s="142" t="s">
        <v>300</v>
      </c>
      <c r="AB399" s="105">
        <v>46.36</v>
      </c>
      <c r="AC399" s="1"/>
      <c r="AD399" s="1"/>
      <c r="AE399" s="1"/>
      <c r="AF399" s="1"/>
      <c r="AG399" s="1"/>
    </row>
    <row r="400">
      <c r="A400" s="1"/>
      <c r="B400" s="1"/>
      <c r="C400" s="75"/>
      <c r="D400" s="1"/>
      <c r="E400" s="1"/>
      <c r="F400" s="1"/>
      <c r="G400" s="1"/>
      <c r="H400" s="1"/>
      <c r="I400" s="76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01" t="s">
        <v>800</v>
      </c>
      <c r="V400" s="91" t="s">
        <v>801</v>
      </c>
      <c r="W400" s="142">
        <v>4.0</v>
      </c>
      <c r="X400" s="142">
        <v>16.0</v>
      </c>
      <c r="Y400" s="142">
        <v>0.0</v>
      </c>
      <c r="Z400" s="103">
        <v>0.0</v>
      </c>
      <c r="AA400" s="142" t="s">
        <v>300</v>
      </c>
      <c r="AB400" s="105">
        <v>92.72</v>
      </c>
      <c r="AC400" s="1"/>
      <c r="AD400" s="1"/>
      <c r="AE400" s="1"/>
      <c r="AF400" s="1"/>
      <c r="AG400" s="1"/>
    </row>
    <row r="401">
      <c r="A401" s="1"/>
      <c r="B401" s="1"/>
      <c r="C401" s="75"/>
      <c r="D401" s="1"/>
      <c r="E401" s="1"/>
      <c r="F401" s="1"/>
      <c r="G401" s="1"/>
      <c r="H401" s="1"/>
      <c r="I401" s="76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01" t="s">
        <v>800</v>
      </c>
      <c r="V401" s="91" t="s">
        <v>802</v>
      </c>
      <c r="W401" s="142">
        <v>8.0</v>
      </c>
      <c r="X401" s="142">
        <v>32.0</v>
      </c>
      <c r="Y401" s="142">
        <v>0.0</v>
      </c>
      <c r="Z401" s="103">
        <v>0.0</v>
      </c>
      <c r="AA401" s="142" t="s">
        <v>300</v>
      </c>
      <c r="AB401" s="105">
        <v>185.43</v>
      </c>
      <c r="AC401" s="1"/>
      <c r="AD401" s="1"/>
      <c r="AE401" s="1"/>
      <c r="AF401" s="1"/>
      <c r="AG401" s="1"/>
    </row>
    <row r="402">
      <c r="A402" s="1"/>
      <c r="B402" s="1"/>
      <c r="C402" s="75"/>
      <c r="D402" s="1"/>
      <c r="E402" s="1"/>
      <c r="F402" s="1"/>
      <c r="G402" s="1"/>
      <c r="H402" s="1"/>
      <c r="I402" s="76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01" t="s">
        <v>800</v>
      </c>
      <c r="V402" s="91" t="s">
        <v>803</v>
      </c>
      <c r="W402" s="142">
        <v>16.0</v>
      </c>
      <c r="X402" s="142">
        <v>64.0</v>
      </c>
      <c r="Y402" s="142">
        <v>0.0</v>
      </c>
      <c r="Z402" s="103">
        <v>0.0</v>
      </c>
      <c r="AA402" s="142" t="s">
        <v>300</v>
      </c>
      <c r="AB402" s="105">
        <v>370.86</v>
      </c>
      <c r="AC402" s="1"/>
      <c r="AD402" s="1"/>
      <c r="AE402" s="1"/>
      <c r="AF402" s="1"/>
      <c r="AG402" s="1"/>
    </row>
    <row r="403">
      <c r="A403" s="1"/>
      <c r="B403" s="1"/>
      <c r="C403" s="75"/>
      <c r="D403" s="1"/>
      <c r="E403" s="1"/>
      <c r="F403" s="1"/>
      <c r="G403" s="1"/>
      <c r="H403" s="1"/>
      <c r="I403" s="76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01" t="s">
        <v>800</v>
      </c>
      <c r="V403" s="91" t="s">
        <v>804</v>
      </c>
      <c r="W403" s="142">
        <v>32.0</v>
      </c>
      <c r="X403" s="142">
        <v>128.0</v>
      </c>
      <c r="Y403" s="142">
        <v>0.0</v>
      </c>
      <c r="Z403" s="103">
        <v>0.0</v>
      </c>
      <c r="AA403" s="142" t="s">
        <v>308</v>
      </c>
      <c r="AB403" s="105">
        <v>741.72</v>
      </c>
      <c r="AC403" s="1"/>
      <c r="AD403" s="1"/>
      <c r="AE403" s="1"/>
      <c r="AF403" s="1"/>
      <c r="AG403" s="1"/>
    </row>
    <row r="404">
      <c r="A404" s="1"/>
      <c r="B404" s="1"/>
      <c r="C404" s="75"/>
      <c r="D404" s="1"/>
      <c r="E404" s="1"/>
      <c r="F404" s="1"/>
      <c r="G404" s="1"/>
      <c r="H404" s="1"/>
      <c r="I404" s="76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01" t="s">
        <v>800</v>
      </c>
      <c r="V404" s="91" t="s">
        <v>805</v>
      </c>
      <c r="W404" s="142">
        <v>48.0</v>
      </c>
      <c r="X404" s="142">
        <v>192.0</v>
      </c>
      <c r="Y404" s="142">
        <v>0.0</v>
      </c>
      <c r="Z404" s="103">
        <v>0.0</v>
      </c>
      <c r="AA404" s="142" t="s">
        <v>311</v>
      </c>
      <c r="AB404" s="105">
        <v>1112.59</v>
      </c>
      <c r="AC404" s="1"/>
      <c r="AD404" s="1"/>
      <c r="AE404" s="1"/>
      <c r="AF404" s="1"/>
      <c r="AG404" s="1"/>
    </row>
    <row r="405">
      <c r="A405" s="1"/>
      <c r="B405" s="1"/>
      <c r="C405" s="75"/>
      <c r="D405" s="1"/>
      <c r="E405" s="1"/>
      <c r="F405" s="1"/>
      <c r="G405" s="1"/>
      <c r="H405" s="1"/>
      <c r="I405" s="76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01" t="s">
        <v>800</v>
      </c>
      <c r="V405" s="91" t="s">
        <v>806</v>
      </c>
      <c r="W405" s="142">
        <v>64.0</v>
      </c>
      <c r="X405" s="142">
        <v>256.0</v>
      </c>
      <c r="Y405" s="142">
        <v>0.0</v>
      </c>
      <c r="Z405" s="103">
        <v>0.0</v>
      </c>
      <c r="AA405" s="142" t="s">
        <v>208</v>
      </c>
      <c r="AB405" s="105">
        <v>1483.45</v>
      </c>
      <c r="AC405" s="1"/>
      <c r="AD405" s="1"/>
      <c r="AE405" s="1"/>
      <c r="AF405" s="1"/>
      <c r="AG405" s="1"/>
    </row>
    <row r="406">
      <c r="A406" s="1"/>
      <c r="B406" s="1"/>
      <c r="C406" s="75"/>
      <c r="D406" s="1"/>
      <c r="E406" s="1"/>
      <c r="F406" s="1"/>
      <c r="G406" s="1"/>
      <c r="H406" s="1"/>
      <c r="I406" s="76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01" t="s">
        <v>800</v>
      </c>
      <c r="V406" s="91" t="s">
        <v>807</v>
      </c>
      <c r="W406" s="142">
        <v>96.0</v>
      </c>
      <c r="X406" s="142">
        <v>384.0</v>
      </c>
      <c r="Y406" s="142">
        <v>0.0</v>
      </c>
      <c r="Z406" s="103">
        <v>0.0</v>
      </c>
      <c r="AA406" s="142" t="s">
        <v>315</v>
      </c>
      <c r="AB406" s="105">
        <v>2225.18</v>
      </c>
      <c r="AC406" s="1"/>
      <c r="AD406" s="1"/>
      <c r="AE406" s="1"/>
      <c r="AF406" s="1"/>
      <c r="AG406" s="1"/>
    </row>
    <row r="407">
      <c r="A407" s="1"/>
      <c r="B407" s="1"/>
      <c r="C407" s="75"/>
      <c r="D407" s="1"/>
      <c r="E407" s="1"/>
      <c r="F407" s="1"/>
      <c r="G407" s="1"/>
      <c r="H407" s="1"/>
      <c r="I407" s="76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01" t="s">
        <v>800</v>
      </c>
      <c r="V407" s="91" t="s">
        <v>808</v>
      </c>
      <c r="W407" s="142">
        <v>128.0</v>
      </c>
      <c r="X407" s="142">
        <v>512.0</v>
      </c>
      <c r="Y407" s="142">
        <v>0.0</v>
      </c>
      <c r="Z407" s="103">
        <v>0.0</v>
      </c>
      <c r="AA407" s="142" t="s">
        <v>294</v>
      </c>
      <c r="AB407" s="105">
        <v>2966.91</v>
      </c>
      <c r="AC407" s="1"/>
      <c r="AD407" s="1"/>
      <c r="AE407" s="1"/>
      <c r="AF407" s="1"/>
      <c r="AG407" s="1"/>
    </row>
    <row r="408">
      <c r="A408" s="1"/>
      <c r="B408" s="1"/>
      <c r="C408" s="75"/>
      <c r="D408" s="1"/>
      <c r="E408" s="1"/>
      <c r="F408" s="1"/>
      <c r="G408" s="1"/>
      <c r="H408" s="1"/>
      <c r="I408" s="76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01" t="s">
        <v>809</v>
      </c>
      <c r="V408" s="91" t="s">
        <v>810</v>
      </c>
      <c r="W408" s="142">
        <v>2.0</v>
      </c>
      <c r="X408" s="142">
        <v>8.0</v>
      </c>
      <c r="Y408" s="142">
        <v>1900.0</v>
      </c>
      <c r="Z408" s="103">
        <f>Z409/2</f>
        <v>0.0625</v>
      </c>
      <c r="AA408" s="142" t="s">
        <v>300</v>
      </c>
      <c r="AB408" s="105">
        <v>54.57</v>
      </c>
      <c r="AC408" s="1"/>
      <c r="AD408" s="1"/>
      <c r="AE408" s="1"/>
      <c r="AF408" s="1"/>
      <c r="AG408" s="1"/>
    </row>
    <row r="409">
      <c r="A409" s="1"/>
      <c r="B409" s="1"/>
      <c r="C409" s="75"/>
      <c r="D409" s="1"/>
      <c r="E409" s="1"/>
      <c r="F409" s="1"/>
      <c r="G409" s="1"/>
      <c r="H409" s="1"/>
      <c r="I409" s="76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01" t="s">
        <v>809</v>
      </c>
      <c r="V409" s="91" t="s">
        <v>811</v>
      </c>
      <c r="W409" s="142">
        <v>4.0</v>
      </c>
      <c r="X409" s="142">
        <v>16.0</v>
      </c>
      <c r="Y409" s="142">
        <v>1900.0</v>
      </c>
      <c r="Z409" s="103">
        <v>0.125</v>
      </c>
      <c r="AA409" s="142" t="s">
        <v>300</v>
      </c>
      <c r="AB409" s="105">
        <v>109.14</v>
      </c>
      <c r="AC409" s="1"/>
      <c r="AD409" s="1"/>
      <c r="AE409" s="1"/>
      <c r="AF409" s="1"/>
      <c r="AG409" s="1"/>
    </row>
    <row r="410">
      <c r="A410" s="1"/>
      <c r="B410" s="1"/>
      <c r="C410" s="75"/>
      <c r="D410" s="1"/>
      <c r="E410" s="1"/>
      <c r="F410" s="1"/>
      <c r="G410" s="1"/>
      <c r="H410" s="1"/>
      <c r="I410" s="76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01" t="s">
        <v>809</v>
      </c>
      <c r="V410" s="91" t="s">
        <v>812</v>
      </c>
      <c r="W410" s="142">
        <v>8.0</v>
      </c>
      <c r="X410" s="142">
        <v>32.0</v>
      </c>
      <c r="Y410" s="142">
        <v>1900.0</v>
      </c>
      <c r="Z410" s="103">
        <v>0.25</v>
      </c>
      <c r="AA410" s="142" t="s">
        <v>300</v>
      </c>
      <c r="AB410" s="105">
        <v>218.27</v>
      </c>
      <c r="AC410" s="1"/>
      <c r="AD410" s="1"/>
      <c r="AE410" s="1"/>
      <c r="AF410" s="1"/>
      <c r="AG410" s="1"/>
    </row>
    <row r="411">
      <c r="A411" s="1"/>
      <c r="B411" s="1"/>
      <c r="C411" s="75"/>
      <c r="D411" s="1"/>
      <c r="E411" s="1"/>
      <c r="F411" s="1"/>
      <c r="G411" s="1"/>
      <c r="H411" s="1"/>
      <c r="I411" s="76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01" t="s">
        <v>813</v>
      </c>
      <c r="V411" s="91" t="s">
        <v>814</v>
      </c>
      <c r="W411" s="142">
        <v>16.0</v>
      </c>
      <c r="X411" s="142">
        <v>64.0</v>
      </c>
      <c r="Y411" s="142">
        <v>1900.0</v>
      </c>
      <c r="Z411" s="103">
        <v>0.5</v>
      </c>
      <c r="AA411" s="142" t="s">
        <v>300</v>
      </c>
      <c r="AB411" s="105">
        <v>436.54</v>
      </c>
      <c r="AC411" s="1"/>
      <c r="AD411" s="1"/>
      <c r="AE411" s="1"/>
      <c r="AF411" s="1"/>
      <c r="AG411" s="1"/>
    </row>
    <row r="412">
      <c r="A412" s="1"/>
      <c r="B412" s="1"/>
      <c r="C412" s="75"/>
      <c r="D412" s="1"/>
      <c r="E412" s="1"/>
      <c r="F412" s="1"/>
      <c r="G412" s="1"/>
      <c r="H412" s="1"/>
      <c r="I412" s="76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01" t="s">
        <v>809</v>
      </c>
      <c r="V412" s="91" t="s">
        <v>815</v>
      </c>
      <c r="W412" s="142">
        <v>32.0</v>
      </c>
      <c r="X412" s="142">
        <v>128.0</v>
      </c>
      <c r="Y412" s="142">
        <v>1900.0</v>
      </c>
      <c r="Z412" s="103">
        <v>1.0</v>
      </c>
      <c r="AA412" s="142" t="s">
        <v>308</v>
      </c>
      <c r="AB412" s="105">
        <v>873.07</v>
      </c>
      <c r="AC412" s="1"/>
      <c r="AD412" s="1"/>
      <c r="AE412" s="1"/>
      <c r="AF412" s="1"/>
      <c r="AG412" s="1"/>
    </row>
    <row r="413">
      <c r="A413" s="1"/>
      <c r="B413" s="1"/>
      <c r="C413" s="75"/>
      <c r="D413" s="1"/>
      <c r="E413" s="1"/>
      <c r="F413" s="1"/>
      <c r="G413" s="1"/>
      <c r="H413" s="1"/>
      <c r="I413" s="76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01" t="s">
        <v>809</v>
      </c>
      <c r="V413" s="91" t="s">
        <v>816</v>
      </c>
      <c r="W413" s="142">
        <v>48.0</v>
      </c>
      <c r="X413" s="142">
        <v>192.0</v>
      </c>
      <c r="Y413" s="142">
        <v>1900.0</v>
      </c>
      <c r="Z413" s="103">
        <f>2*1425/1900</f>
        <v>1.5</v>
      </c>
      <c r="AA413" s="142" t="s">
        <v>311</v>
      </c>
      <c r="AB413" s="105">
        <v>1309.61</v>
      </c>
      <c r="AC413" s="1"/>
      <c r="AD413" s="1"/>
      <c r="AE413" s="1"/>
      <c r="AF413" s="1"/>
      <c r="AG413" s="1"/>
    </row>
    <row r="414">
      <c r="A414" s="1"/>
      <c r="B414" s="1"/>
      <c r="C414" s="75"/>
      <c r="D414" s="1"/>
      <c r="E414" s="1"/>
      <c r="F414" s="1"/>
      <c r="G414" s="1"/>
      <c r="H414" s="1"/>
      <c r="I414" s="76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01" t="s">
        <v>809</v>
      </c>
      <c r="V414" s="91" t="s">
        <v>817</v>
      </c>
      <c r="W414" s="142">
        <v>64.0</v>
      </c>
      <c r="X414" s="142">
        <v>256.0</v>
      </c>
      <c r="Y414" s="142">
        <v>1900.0</v>
      </c>
      <c r="Z414" s="103">
        <v>2.0</v>
      </c>
      <c r="AA414" s="142" t="s">
        <v>208</v>
      </c>
      <c r="AB414" s="105">
        <v>1746.15</v>
      </c>
      <c r="AC414" s="1"/>
      <c r="AD414" s="1"/>
      <c r="AE414" s="1"/>
      <c r="AF414" s="1"/>
      <c r="AG414" s="1"/>
    </row>
    <row r="415">
      <c r="A415" s="1"/>
      <c r="B415" s="1"/>
      <c r="C415" s="75"/>
      <c r="D415" s="1"/>
      <c r="E415" s="1"/>
      <c r="F415" s="1"/>
      <c r="G415" s="1"/>
      <c r="H415" s="1"/>
      <c r="I415" s="76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01" t="s">
        <v>809</v>
      </c>
      <c r="V415" s="91" t="s">
        <v>818</v>
      </c>
      <c r="W415" s="142">
        <v>96.0</v>
      </c>
      <c r="X415" s="142">
        <v>384.0</v>
      </c>
      <c r="Y415" s="142">
        <v>1900.0</v>
      </c>
      <c r="Z415" s="103">
        <f>8/3</f>
        <v>2.666666667</v>
      </c>
      <c r="AA415" s="142" t="s">
        <v>315</v>
      </c>
      <c r="AB415" s="105">
        <v>2619.23</v>
      </c>
      <c r="AC415" s="1"/>
      <c r="AD415" s="1"/>
      <c r="AE415" s="1"/>
      <c r="AF415" s="1"/>
      <c r="AG415" s="1"/>
    </row>
    <row r="416">
      <c r="A416" s="1"/>
      <c r="B416" s="1"/>
      <c r="C416" s="75"/>
      <c r="D416" s="1"/>
      <c r="E416" s="1"/>
      <c r="F416" s="1"/>
      <c r="G416" s="1"/>
      <c r="H416" s="1"/>
      <c r="I416" s="76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01" t="s">
        <v>809</v>
      </c>
      <c r="V416" s="91" t="s">
        <v>819</v>
      </c>
      <c r="W416" s="142">
        <v>128.0</v>
      </c>
      <c r="X416" s="142">
        <v>512.0</v>
      </c>
      <c r="Y416" s="142">
        <v>1900.0</v>
      </c>
      <c r="Z416" s="103">
        <v>4.0</v>
      </c>
      <c r="AA416" s="142" t="s">
        <v>294</v>
      </c>
      <c r="AB416" s="105">
        <v>3492.3</v>
      </c>
      <c r="AC416" s="1"/>
      <c r="AD416" s="1"/>
      <c r="AE416" s="1"/>
      <c r="AF416" s="1"/>
      <c r="AG416" s="1"/>
    </row>
    <row r="417">
      <c r="A417" s="1"/>
      <c r="B417" s="1"/>
      <c r="C417" s="75"/>
      <c r="D417" s="1"/>
      <c r="E417" s="1"/>
      <c r="F417" s="1"/>
      <c r="G417" s="1"/>
      <c r="H417" s="1"/>
      <c r="I417" s="76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01" t="s">
        <v>820</v>
      </c>
      <c r="V417" s="91" t="s">
        <v>821</v>
      </c>
      <c r="W417" s="142">
        <v>2.0</v>
      </c>
      <c r="X417" s="142">
        <v>8.0</v>
      </c>
      <c r="Y417" s="142">
        <v>1900.0</v>
      </c>
      <c r="Z417" s="103">
        <f>Z418/2</f>
        <v>0.0625</v>
      </c>
      <c r="AA417" s="142" t="s">
        <v>284</v>
      </c>
      <c r="AB417" s="105">
        <v>73.18</v>
      </c>
      <c r="AC417" s="1"/>
      <c r="AD417" s="1"/>
      <c r="AE417" s="1"/>
      <c r="AF417" s="1"/>
      <c r="AG417" s="1"/>
    </row>
    <row r="418">
      <c r="A418" s="1"/>
      <c r="B418" s="1"/>
      <c r="C418" s="75"/>
      <c r="D418" s="1"/>
      <c r="E418" s="1"/>
      <c r="F418" s="1"/>
      <c r="G418" s="1"/>
      <c r="H418" s="1"/>
      <c r="I418" s="76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01" t="s">
        <v>820</v>
      </c>
      <c r="V418" s="91" t="s">
        <v>822</v>
      </c>
      <c r="W418" s="142">
        <v>4.0</v>
      </c>
      <c r="X418" s="142">
        <v>16.0</v>
      </c>
      <c r="Y418" s="142">
        <v>1900.0</v>
      </c>
      <c r="Z418" s="103">
        <v>0.125</v>
      </c>
      <c r="AA418" s="142" t="s">
        <v>408</v>
      </c>
      <c r="AB418" s="105">
        <v>146.36</v>
      </c>
      <c r="AC418" s="1"/>
      <c r="AD418" s="1"/>
      <c r="AE418" s="1"/>
      <c r="AF418" s="1"/>
      <c r="AG418" s="1"/>
    </row>
    <row r="419">
      <c r="A419" s="1"/>
      <c r="B419" s="1"/>
      <c r="C419" s="75"/>
      <c r="D419" s="1"/>
      <c r="E419" s="1"/>
      <c r="F419" s="1"/>
      <c r="G419" s="1"/>
      <c r="H419" s="1"/>
      <c r="I419" s="76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01" t="s">
        <v>820</v>
      </c>
      <c r="V419" s="91" t="s">
        <v>823</v>
      </c>
      <c r="W419" s="142">
        <v>8.0</v>
      </c>
      <c r="X419" s="142">
        <v>32.0</v>
      </c>
      <c r="Y419" s="142">
        <v>1900.0</v>
      </c>
      <c r="Z419" s="103">
        <v>0.25</v>
      </c>
      <c r="AA419" s="142" t="s">
        <v>410</v>
      </c>
      <c r="AB419" s="105">
        <v>292.72</v>
      </c>
      <c r="AC419" s="1"/>
      <c r="AD419" s="1"/>
      <c r="AE419" s="1"/>
      <c r="AF419" s="1"/>
      <c r="AG419" s="1"/>
    </row>
    <row r="420">
      <c r="A420" s="1"/>
      <c r="B420" s="1"/>
      <c r="C420" s="75"/>
      <c r="D420" s="1"/>
      <c r="E420" s="1"/>
      <c r="F420" s="1"/>
      <c r="G420" s="1"/>
      <c r="H420" s="1"/>
      <c r="I420" s="76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01" t="s">
        <v>824</v>
      </c>
      <c r="V420" s="91" t="s">
        <v>825</v>
      </c>
      <c r="W420" s="142">
        <v>16.0</v>
      </c>
      <c r="X420" s="142">
        <v>64.0</v>
      </c>
      <c r="Y420" s="142">
        <v>1900.0</v>
      </c>
      <c r="Z420" s="103">
        <v>0.5</v>
      </c>
      <c r="AA420" s="142" t="s">
        <v>413</v>
      </c>
      <c r="AB420" s="105">
        <v>585.43</v>
      </c>
      <c r="AC420" s="1"/>
      <c r="AD420" s="1"/>
      <c r="AE420" s="1"/>
      <c r="AF420" s="1"/>
      <c r="AG420" s="1"/>
    </row>
    <row r="421">
      <c r="A421" s="1"/>
      <c r="B421" s="1"/>
      <c r="C421" s="75"/>
      <c r="D421" s="1"/>
      <c r="E421" s="1"/>
      <c r="F421" s="1"/>
      <c r="G421" s="1"/>
      <c r="H421" s="1"/>
      <c r="I421" s="76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01" t="s">
        <v>820</v>
      </c>
      <c r="V421" s="91" t="s">
        <v>826</v>
      </c>
      <c r="W421" s="142">
        <v>32.0</v>
      </c>
      <c r="X421" s="142">
        <v>128.0</v>
      </c>
      <c r="Y421" s="142">
        <v>1900.0</v>
      </c>
      <c r="Z421" s="103">
        <v>1.0</v>
      </c>
      <c r="AA421" s="142" t="s">
        <v>294</v>
      </c>
      <c r="AB421" s="105">
        <v>1170.87</v>
      </c>
      <c r="AC421" s="1"/>
      <c r="AD421" s="1"/>
      <c r="AE421" s="1"/>
      <c r="AF421" s="1"/>
      <c r="AG421" s="1"/>
    </row>
    <row r="422">
      <c r="A422" s="1"/>
      <c r="B422" s="1"/>
      <c r="C422" s="75"/>
      <c r="D422" s="1"/>
      <c r="E422" s="1"/>
      <c r="F422" s="1"/>
      <c r="G422" s="1"/>
      <c r="H422" s="1"/>
      <c r="I422" s="76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01" t="s">
        <v>820</v>
      </c>
      <c r="V422" s="91" t="s">
        <v>827</v>
      </c>
      <c r="W422" s="142">
        <v>48.0</v>
      </c>
      <c r="X422" s="142">
        <v>192.0</v>
      </c>
      <c r="Y422" s="142">
        <v>1900.0</v>
      </c>
      <c r="Z422" s="103">
        <f>2*1425/1900</f>
        <v>1.5</v>
      </c>
      <c r="AA422" s="142" t="s">
        <v>364</v>
      </c>
      <c r="AB422" s="105">
        <v>1756.3</v>
      </c>
      <c r="AC422" s="1"/>
      <c r="AD422" s="1"/>
      <c r="AE422" s="1"/>
      <c r="AF422" s="1"/>
      <c r="AG422" s="1"/>
    </row>
    <row r="423">
      <c r="A423" s="1"/>
      <c r="B423" s="1"/>
      <c r="C423" s="75"/>
      <c r="D423" s="1"/>
      <c r="E423" s="1"/>
      <c r="F423" s="1"/>
      <c r="G423" s="1"/>
      <c r="H423" s="1"/>
      <c r="I423" s="76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01" t="s">
        <v>820</v>
      </c>
      <c r="V423" s="91" t="s">
        <v>828</v>
      </c>
      <c r="W423" s="142">
        <v>64.0</v>
      </c>
      <c r="X423" s="142">
        <v>256.0</v>
      </c>
      <c r="Y423" s="142">
        <v>1900.0</v>
      </c>
      <c r="Z423" s="103">
        <v>2.0</v>
      </c>
      <c r="AA423" s="142" t="s">
        <v>296</v>
      </c>
      <c r="AB423" s="105">
        <v>2341.74</v>
      </c>
      <c r="AC423" s="1"/>
      <c r="AD423" s="1"/>
      <c r="AE423" s="1"/>
      <c r="AF423" s="1"/>
      <c r="AG423" s="1"/>
    </row>
    <row r="424">
      <c r="A424" s="1"/>
      <c r="B424" s="1"/>
      <c r="C424" s="75"/>
      <c r="D424" s="1"/>
      <c r="E424" s="1"/>
      <c r="F424" s="1"/>
      <c r="G424" s="1"/>
      <c r="H424" s="1"/>
      <c r="I424" s="76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01" t="s">
        <v>820</v>
      </c>
      <c r="V424" s="91" t="s">
        <v>829</v>
      </c>
      <c r="W424" s="142">
        <v>96.0</v>
      </c>
      <c r="X424" s="142">
        <v>384.0</v>
      </c>
      <c r="Y424" s="142">
        <v>1900.0</v>
      </c>
      <c r="Z424" s="103">
        <f>8/3</f>
        <v>2.666666667</v>
      </c>
      <c r="AA424" s="142" t="s">
        <v>419</v>
      </c>
      <c r="AB424" s="105">
        <v>3512.61</v>
      </c>
      <c r="AC424" s="1"/>
      <c r="AD424" s="1"/>
      <c r="AE424" s="1"/>
      <c r="AF424" s="1"/>
      <c r="AG424" s="1"/>
    </row>
    <row r="425">
      <c r="A425" s="1"/>
      <c r="B425" s="1"/>
      <c r="C425" s="75"/>
      <c r="D425" s="1"/>
      <c r="E425" s="1"/>
      <c r="F425" s="1"/>
      <c r="G425" s="1"/>
      <c r="H425" s="1"/>
      <c r="I425" s="76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01" t="s">
        <v>820</v>
      </c>
      <c r="V425" s="91" t="s">
        <v>830</v>
      </c>
      <c r="W425" s="142">
        <v>128.0</v>
      </c>
      <c r="X425" s="142">
        <v>512.0</v>
      </c>
      <c r="Y425" s="142">
        <v>1900.0</v>
      </c>
      <c r="Z425" s="103">
        <v>4.0</v>
      </c>
      <c r="AA425" s="142" t="s">
        <v>421</v>
      </c>
      <c r="AB425" s="105">
        <v>4683.48</v>
      </c>
      <c r="AC425" s="1"/>
      <c r="AD425" s="1"/>
      <c r="AE425" s="1"/>
      <c r="AF425" s="1"/>
      <c r="AG425" s="1"/>
    </row>
    <row r="426">
      <c r="A426" s="1"/>
      <c r="B426" s="1"/>
      <c r="C426" s="75"/>
      <c r="D426" s="1"/>
      <c r="E426" s="1"/>
      <c r="F426" s="1"/>
      <c r="G426" s="1"/>
      <c r="H426" s="1"/>
      <c r="I426" s="76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01" t="s">
        <v>831</v>
      </c>
      <c r="V426" s="91" t="s">
        <v>832</v>
      </c>
      <c r="W426" s="142">
        <v>2.0</v>
      </c>
      <c r="X426" s="142">
        <v>8.0</v>
      </c>
      <c r="Y426" s="142">
        <v>0.0</v>
      </c>
      <c r="Z426" s="103">
        <v>0.0</v>
      </c>
      <c r="AA426" s="142" t="s">
        <v>284</v>
      </c>
      <c r="AB426" s="105">
        <v>64.03</v>
      </c>
      <c r="AC426" s="1"/>
      <c r="AD426" s="1"/>
      <c r="AE426" s="1"/>
      <c r="AF426" s="1"/>
      <c r="AG426" s="1"/>
    </row>
    <row r="427">
      <c r="A427" s="1"/>
      <c r="B427" s="1"/>
      <c r="C427" s="75"/>
      <c r="D427" s="1"/>
      <c r="E427" s="1"/>
      <c r="F427" s="1"/>
      <c r="G427" s="1"/>
      <c r="H427" s="1"/>
      <c r="I427" s="76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01" t="s">
        <v>833</v>
      </c>
      <c r="V427" s="91" t="s">
        <v>834</v>
      </c>
      <c r="W427" s="142">
        <v>4.0</v>
      </c>
      <c r="X427" s="142">
        <v>16.0</v>
      </c>
      <c r="Y427" s="142">
        <v>0.0</v>
      </c>
      <c r="Z427" s="103">
        <v>0.0</v>
      </c>
      <c r="AA427" s="142" t="s">
        <v>408</v>
      </c>
      <c r="AB427" s="105">
        <v>128.06</v>
      </c>
      <c r="AC427" s="1"/>
      <c r="AD427" s="1"/>
      <c r="AE427" s="1"/>
      <c r="AF427" s="1"/>
      <c r="AG427" s="1"/>
    </row>
    <row r="428">
      <c r="A428" s="1"/>
      <c r="B428" s="1"/>
      <c r="C428" s="75"/>
      <c r="D428" s="1"/>
      <c r="E428" s="1"/>
      <c r="F428" s="1"/>
      <c r="G428" s="1"/>
      <c r="H428" s="1"/>
      <c r="I428" s="76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01" t="s">
        <v>833</v>
      </c>
      <c r="V428" s="91" t="s">
        <v>835</v>
      </c>
      <c r="W428" s="142">
        <v>8.0</v>
      </c>
      <c r="X428" s="142">
        <v>32.0</v>
      </c>
      <c r="Y428" s="142">
        <v>0.0</v>
      </c>
      <c r="Z428" s="103">
        <v>0.0</v>
      </c>
      <c r="AA428" s="142" t="s">
        <v>410</v>
      </c>
      <c r="AB428" s="105">
        <v>256.13</v>
      </c>
      <c r="AC428" s="1"/>
      <c r="AD428" s="1"/>
      <c r="AE428" s="1"/>
      <c r="AF428" s="1"/>
      <c r="AG428" s="1"/>
    </row>
    <row r="429">
      <c r="A429" s="1"/>
      <c r="B429" s="1"/>
      <c r="C429" s="75"/>
      <c r="D429" s="1"/>
      <c r="E429" s="1"/>
      <c r="F429" s="1"/>
      <c r="G429" s="1"/>
      <c r="H429" s="1"/>
      <c r="I429" s="76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01" t="s">
        <v>833</v>
      </c>
      <c r="V429" s="91" t="s">
        <v>836</v>
      </c>
      <c r="W429" s="142">
        <v>16.0</v>
      </c>
      <c r="X429" s="142">
        <v>64.0</v>
      </c>
      <c r="Y429" s="142">
        <v>0.0</v>
      </c>
      <c r="Z429" s="103">
        <v>0.0</v>
      </c>
      <c r="AA429" s="142" t="s">
        <v>413</v>
      </c>
      <c r="AB429" s="105">
        <v>512.26</v>
      </c>
      <c r="AC429" s="1"/>
      <c r="AD429" s="1"/>
      <c r="AE429" s="1"/>
      <c r="AF429" s="1"/>
      <c r="AG429" s="1"/>
    </row>
    <row r="430">
      <c r="A430" s="1"/>
      <c r="B430" s="1"/>
      <c r="C430" s="75"/>
      <c r="D430" s="1"/>
      <c r="E430" s="1"/>
      <c r="F430" s="1"/>
      <c r="G430" s="1"/>
      <c r="H430" s="1"/>
      <c r="I430" s="76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01" t="s">
        <v>833</v>
      </c>
      <c r="V430" s="91" t="s">
        <v>837</v>
      </c>
      <c r="W430" s="142">
        <v>32.0</v>
      </c>
      <c r="X430" s="142">
        <v>128.0</v>
      </c>
      <c r="Y430" s="142">
        <v>0.0</v>
      </c>
      <c r="Z430" s="103">
        <v>0.0</v>
      </c>
      <c r="AA430" s="142" t="s">
        <v>294</v>
      </c>
      <c r="AB430" s="105">
        <v>1024.51</v>
      </c>
      <c r="AC430" s="1"/>
      <c r="AD430" s="1"/>
      <c r="AE430" s="1"/>
      <c r="AF430" s="1"/>
      <c r="AG430" s="1"/>
    </row>
    <row r="431">
      <c r="A431" s="1"/>
      <c r="B431" s="1"/>
      <c r="C431" s="75"/>
      <c r="D431" s="1"/>
      <c r="E431" s="1"/>
      <c r="F431" s="1"/>
      <c r="G431" s="1"/>
      <c r="H431" s="1"/>
      <c r="I431" s="76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01" t="s">
        <v>833</v>
      </c>
      <c r="V431" s="91" t="s">
        <v>838</v>
      </c>
      <c r="W431" s="142">
        <v>48.0</v>
      </c>
      <c r="X431" s="142">
        <v>192.0</v>
      </c>
      <c r="Y431" s="142">
        <v>0.0</v>
      </c>
      <c r="Z431" s="103">
        <v>0.0</v>
      </c>
      <c r="AA431" s="142" t="s">
        <v>364</v>
      </c>
      <c r="AB431" s="105">
        <v>1536.77</v>
      </c>
      <c r="AC431" s="1"/>
      <c r="AD431" s="1"/>
      <c r="AE431" s="1"/>
      <c r="AF431" s="1"/>
      <c r="AG431" s="1"/>
    </row>
    <row r="432">
      <c r="A432" s="1"/>
      <c r="B432" s="1"/>
      <c r="C432" s="75"/>
      <c r="D432" s="1"/>
      <c r="E432" s="1"/>
      <c r="F432" s="1"/>
      <c r="G432" s="1"/>
      <c r="H432" s="1"/>
      <c r="I432" s="76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01" t="s">
        <v>833</v>
      </c>
      <c r="V432" s="91" t="s">
        <v>839</v>
      </c>
      <c r="W432" s="142">
        <v>64.0</v>
      </c>
      <c r="X432" s="142">
        <v>256.0</v>
      </c>
      <c r="Y432" s="142">
        <v>0.0</v>
      </c>
      <c r="Z432" s="103">
        <v>0.0</v>
      </c>
      <c r="AA432" s="142" t="s">
        <v>296</v>
      </c>
      <c r="AB432" s="105">
        <v>2049.02</v>
      </c>
      <c r="AC432" s="1"/>
      <c r="AD432" s="1"/>
      <c r="AE432" s="1"/>
      <c r="AF432" s="1"/>
      <c r="AG432" s="1"/>
    </row>
    <row r="433">
      <c r="A433" s="1"/>
      <c r="B433" s="1"/>
      <c r="C433" s="75"/>
      <c r="D433" s="1"/>
      <c r="E433" s="1"/>
      <c r="F433" s="1"/>
      <c r="G433" s="1"/>
      <c r="H433" s="1"/>
      <c r="I433" s="76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01" t="s">
        <v>833</v>
      </c>
      <c r="V433" s="91" t="s">
        <v>840</v>
      </c>
      <c r="W433" s="142">
        <v>96.0</v>
      </c>
      <c r="X433" s="142">
        <v>384.0</v>
      </c>
      <c r="Y433" s="142">
        <v>0.0</v>
      </c>
      <c r="Z433" s="103">
        <v>0.0</v>
      </c>
      <c r="AA433" s="142" t="s">
        <v>419</v>
      </c>
      <c r="AB433" s="105">
        <v>3073.53</v>
      </c>
      <c r="AC433" s="1"/>
      <c r="AD433" s="1"/>
      <c r="AE433" s="1"/>
      <c r="AF433" s="1"/>
      <c r="AG433" s="1"/>
    </row>
    <row r="434">
      <c r="A434" s="1"/>
      <c r="B434" s="1"/>
      <c r="C434" s="75"/>
      <c r="D434" s="1"/>
      <c r="E434" s="1"/>
      <c r="F434" s="1"/>
      <c r="G434" s="1"/>
      <c r="H434" s="1"/>
      <c r="I434" s="76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01" t="s">
        <v>833</v>
      </c>
      <c r="V434" s="91" t="s">
        <v>841</v>
      </c>
      <c r="W434" s="142">
        <v>128.0</v>
      </c>
      <c r="X434" s="142">
        <v>512.0</v>
      </c>
      <c r="Y434" s="142">
        <v>0.0</v>
      </c>
      <c r="Z434" s="103">
        <v>0.0</v>
      </c>
      <c r="AA434" s="142" t="s">
        <v>421</v>
      </c>
      <c r="AB434" s="105">
        <v>4098.04</v>
      </c>
      <c r="AC434" s="1"/>
      <c r="AD434" s="1"/>
      <c r="AE434" s="1"/>
      <c r="AF434" s="1"/>
      <c r="AG434" s="1"/>
    </row>
    <row r="435">
      <c r="A435" s="1"/>
      <c r="B435" s="1"/>
      <c r="C435" s="75"/>
      <c r="D435" s="1"/>
      <c r="E435" s="1"/>
      <c r="F435" s="1"/>
      <c r="G435" s="1"/>
      <c r="H435" s="1"/>
      <c r="I435" s="76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01" t="s">
        <v>842</v>
      </c>
      <c r="V435" s="91" t="s">
        <v>843</v>
      </c>
      <c r="W435" s="142">
        <v>1.0</v>
      </c>
      <c r="X435" s="142">
        <v>4.0</v>
      </c>
      <c r="Y435" s="142">
        <v>0.0</v>
      </c>
      <c r="Z435" s="103">
        <v>0.0</v>
      </c>
      <c r="AA435" s="142" t="s">
        <v>300</v>
      </c>
      <c r="AB435" s="105">
        <v>27.99</v>
      </c>
      <c r="AC435" s="1"/>
      <c r="AD435" s="1"/>
      <c r="AE435" s="1"/>
      <c r="AF435" s="1"/>
      <c r="AG435" s="1"/>
    </row>
    <row r="436">
      <c r="A436" s="1"/>
      <c r="B436" s="1"/>
      <c r="C436" s="75"/>
      <c r="D436" s="1"/>
      <c r="E436" s="1"/>
      <c r="F436" s="1"/>
      <c r="G436" s="1"/>
      <c r="H436" s="1"/>
      <c r="I436" s="76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01" t="s">
        <v>844</v>
      </c>
      <c r="V436" s="91" t="s">
        <v>845</v>
      </c>
      <c r="W436" s="142">
        <v>2.0</v>
      </c>
      <c r="X436" s="142">
        <v>8.0</v>
      </c>
      <c r="Y436" s="142">
        <v>0.0</v>
      </c>
      <c r="Z436" s="103">
        <v>0.0</v>
      </c>
      <c r="AA436" s="142" t="s">
        <v>300</v>
      </c>
      <c r="AB436" s="105">
        <v>55.98</v>
      </c>
      <c r="AC436" s="1"/>
      <c r="AD436" s="1"/>
      <c r="AE436" s="1"/>
      <c r="AF436" s="1"/>
      <c r="AG436" s="1"/>
    </row>
    <row r="437">
      <c r="A437" s="1"/>
      <c r="B437" s="1"/>
      <c r="C437" s="75"/>
      <c r="D437" s="1"/>
      <c r="E437" s="1"/>
      <c r="F437" s="1"/>
      <c r="G437" s="1"/>
      <c r="H437" s="1"/>
      <c r="I437" s="76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01" t="s">
        <v>844</v>
      </c>
      <c r="V437" s="91" t="s">
        <v>846</v>
      </c>
      <c r="W437" s="142">
        <v>4.0</v>
      </c>
      <c r="X437" s="142">
        <v>16.0</v>
      </c>
      <c r="Y437" s="142">
        <v>0.0</v>
      </c>
      <c r="Z437" s="103">
        <v>0.0</v>
      </c>
      <c r="AA437" s="142" t="s">
        <v>300</v>
      </c>
      <c r="AB437" s="105">
        <v>111.95</v>
      </c>
      <c r="AC437" s="1"/>
      <c r="AD437" s="1"/>
      <c r="AE437" s="1"/>
      <c r="AF437" s="1"/>
      <c r="AG437" s="1"/>
    </row>
    <row r="438">
      <c r="A438" s="1"/>
      <c r="B438" s="1"/>
      <c r="C438" s="75"/>
      <c r="D438" s="1"/>
      <c r="E438" s="1"/>
      <c r="F438" s="1"/>
      <c r="G438" s="1"/>
      <c r="H438" s="1"/>
      <c r="I438" s="76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01" t="s">
        <v>844</v>
      </c>
      <c r="V438" s="91" t="s">
        <v>847</v>
      </c>
      <c r="W438" s="142">
        <v>8.0</v>
      </c>
      <c r="X438" s="142">
        <v>32.0</v>
      </c>
      <c r="Y438" s="142">
        <v>0.0</v>
      </c>
      <c r="Z438" s="103">
        <v>0.0</v>
      </c>
      <c r="AA438" s="142" t="s">
        <v>300</v>
      </c>
      <c r="AB438" s="105">
        <v>223.91</v>
      </c>
      <c r="AC438" s="1"/>
      <c r="AD438" s="1"/>
      <c r="AE438" s="1"/>
      <c r="AF438" s="1"/>
      <c r="AG438" s="1"/>
    </row>
    <row r="439">
      <c r="A439" s="1"/>
      <c r="B439" s="1"/>
      <c r="C439" s="75"/>
      <c r="D439" s="1"/>
      <c r="E439" s="1"/>
      <c r="F439" s="1"/>
      <c r="G439" s="1"/>
      <c r="H439" s="1"/>
      <c r="I439" s="76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01" t="s">
        <v>844</v>
      </c>
      <c r="V439" s="91" t="s">
        <v>848</v>
      </c>
      <c r="W439" s="142">
        <v>16.0</v>
      </c>
      <c r="X439" s="142">
        <v>64.0</v>
      </c>
      <c r="Y439" s="142">
        <v>0.0</v>
      </c>
      <c r="Z439" s="103">
        <v>0.0</v>
      </c>
      <c r="AA439" s="142" t="s">
        <v>300</v>
      </c>
      <c r="AB439" s="105">
        <v>447.82</v>
      </c>
      <c r="AC439" s="1"/>
      <c r="AD439" s="1"/>
      <c r="AE439" s="1"/>
      <c r="AF439" s="1"/>
      <c r="AG439" s="1"/>
    </row>
    <row r="440">
      <c r="A440" s="1"/>
      <c r="B440" s="1"/>
      <c r="C440" s="75"/>
      <c r="D440" s="1"/>
      <c r="E440" s="1"/>
      <c r="F440" s="1"/>
      <c r="G440" s="1"/>
      <c r="H440" s="1"/>
      <c r="I440" s="76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01" t="s">
        <v>844</v>
      </c>
      <c r="V440" s="91" t="s">
        <v>849</v>
      </c>
      <c r="W440" s="142">
        <v>32.0</v>
      </c>
      <c r="X440" s="142">
        <v>128.0</v>
      </c>
      <c r="Y440" s="142">
        <v>0.0</v>
      </c>
      <c r="Z440" s="103">
        <v>0.0</v>
      </c>
      <c r="AA440" s="142" t="s">
        <v>308</v>
      </c>
      <c r="AB440" s="105">
        <v>895.64</v>
      </c>
      <c r="AC440" s="1"/>
      <c r="AD440" s="1"/>
      <c r="AE440" s="1"/>
      <c r="AF440" s="1"/>
      <c r="AG440" s="1"/>
    </row>
    <row r="441">
      <c r="A441" s="1"/>
      <c r="B441" s="1"/>
      <c r="C441" s="75"/>
      <c r="D441" s="1"/>
      <c r="E441" s="1"/>
      <c r="F441" s="1"/>
      <c r="G441" s="1"/>
      <c r="H441" s="1"/>
      <c r="I441" s="76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01" t="s">
        <v>844</v>
      </c>
      <c r="V441" s="91" t="s">
        <v>850</v>
      </c>
      <c r="W441" s="142">
        <v>48.0</v>
      </c>
      <c r="X441" s="142">
        <v>192.0</v>
      </c>
      <c r="Y441" s="142">
        <v>0.0</v>
      </c>
      <c r="Z441" s="103">
        <v>0.0</v>
      </c>
      <c r="AA441" s="142" t="s">
        <v>311</v>
      </c>
      <c r="AB441" s="105">
        <v>1343.46</v>
      </c>
      <c r="AC441" s="1"/>
      <c r="AD441" s="1"/>
      <c r="AE441" s="1"/>
      <c r="AF441" s="1"/>
      <c r="AG441" s="1"/>
    </row>
    <row r="442">
      <c r="A442" s="1"/>
      <c r="B442" s="1"/>
      <c r="C442" s="75"/>
      <c r="D442" s="1"/>
      <c r="E442" s="1"/>
      <c r="F442" s="1"/>
      <c r="G442" s="1"/>
      <c r="H442" s="1"/>
      <c r="I442" s="76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01" t="s">
        <v>844</v>
      </c>
      <c r="V442" s="91" t="s">
        <v>851</v>
      </c>
      <c r="W442" s="142">
        <v>64.0</v>
      </c>
      <c r="X442" s="142">
        <v>256.0</v>
      </c>
      <c r="Y442" s="142">
        <v>0.0</v>
      </c>
      <c r="Z442" s="103">
        <v>0.0</v>
      </c>
      <c r="AA442" s="142" t="s">
        <v>208</v>
      </c>
      <c r="AB442" s="105">
        <v>1791.27</v>
      </c>
      <c r="AC442" s="1"/>
      <c r="AD442" s="1"/>
      <c r="AE442" s="1"/>
      <c r="AF442" s="1"/>
      <c r="AG442" s="1"/>
    </row>
    <row r="443">
      <c r="A443" s="1"/>
      <c r="B443" s="1"/>
      <c r="C443" s="75"/>
      <c r="D443" s="1"/>
      <c r="E443" s="1"/>
      <c r="F443" s="1"/>
      <c r="G443" s="1"/>
      <c r="H443" s="1"/>
      <c r="I443" s="76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01" t="s">
        <v>844</v>
      </c>
      <c r="V443" s="91" t="s">
        <v>852</v>
      </c>
      <c r="W443" s="142">
        <v>96.0</v>
      </c>
      <c r="X443" s="142">
        <v>384.0</v>
      </c>
      <c r="Y443" s="142">
        <v>0.0</v>
      </c>
      <c r="Z443" s="103">
        <v>0.0</v>
      </c>
      <c r="AA443" s="142" t="s">
        <v>315</v>
      </c>
      <c r="AB443" s="105">
        <v>2686.9</v>
      </c>
      <c r="AC443" s="1"/>
      <c r="AD443" s="1"/>
      <c r="AE443" s="1"/>
      <c r="AF443" s="1"/>
      <c r="AG443" s="1"/>
    </row>
    <row r="444">
      <c r="A444" s="1"/>
      <c r="B444" s="1"/>
      <c r="C444" s="75"/>
      <c r="D444" s="1"/>
      <c r="E444" s="1"/>
      <c r="F444" s="1"/>
      <c r="G444" s="1"/>
      <c r="H444" s="1"/>
      <c r="I444" s="76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01" t="s">
        <v>844</v>
      </c>
      <c r="V444" s="91" t="s">
        <v>853</v>
      </c>
      <c r="W444" s="142">
        <v>128.0</v>
      </c>
      <c r="X444" s="142">
        <v>512.0</v>
      </c>
      <c r="Y444" s="142">
        <v>0.0</v>
      </c>
      <c r="Z444" s="103">
        <v>0.0</v>
      </c>
      <c r="AA444" s="142" t="s">
        <v>294</v>
      </c>
      <c r="AB444" s="105">
        <v>3582.54</v>
      </c>
      <c r="AC444" s="1"/>
      <c r="AD444" s="1"/>
      <c r="AE444" s="1"/>
      <c r="AF444" s="1"/>
      <c r="AG444" s="1"/>
    </row>
    <row r="445">
      <c r="A445" s="1"/>
      <c r="B445" s="1"/>
      <c r="C445" s="75"/>
      <c r="D445" s="1"/>
      <c r="E445" s="1"/>
      <c r="F445" s="1"/>
      <c r="G445" s="1"/>
      <c r="H445" s="1"/>
      <c r="I445" s="76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01" t="s">
        <v>844</v>
      </c>
      <c r="V445" s="91" t="s">
        <v>854</v>
      </c>
      <c r="W445" s="142">
        <v>192.0</v>
      </c>
      <c r="X445" s="142">
        <v>768.0</v>
      </c>
      <c r="Y445" s="142">
        <v>0.0</v>
      </c>
      <c r="Z445" s="103">
        <v>0.0</v>
      </c>
      <c r="AA445" s="142" t="s">
        <v>294</v>
      </c>
      <c r="AB445" s="105">
        <v>5373.81</v>
      </c>
      <c r="AC445" s="1"/>
      <c r="AD445" s="1"/>
      <c r="AE445" s="1"/>
      <c r="AF445" s="1"/>
      <c r="AG445" s="1"/>
    </row>
    <row r="446">
      <c r="A446" s="1"/>
      <c r="B446" s="1"/>
      <c r="C446" s="75"/>
      <c r="D446" s="1"/>
      <c r="E446" s="1"/>
      <c r="F446" s="1"/>
      <c r="G446" s="1"/>
      <c r="H446" s="1"/>
      <c r="I446" s="76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01" t="s">
        <v>855</v>
      </c>
      <c r="V446" s="91" t="s">
        <v>856</v>
      </c>
      <c r="W446" s="142">
        <v>1.0</v>
      </c>
      <c r="X446" s="142">
        <v>4.0</v>
      </c>
      <c r="Y446" s="142">
        <v>0.0</v>
      </c>
      <c r="Z446" s="103">
        <v>0.0</v>
      </c>
      <c r="AA446" s="142" t="s">
        <v>300</v>
      </c>
      <c r="AB446" s="105">
        <v>19.71</v>
      </c>
      <c r="AC446" s="1"/>
      <c r="AD446" s="1"/>
      <c r="AE446" s="1"/>
      <c r="AF446" s="1"/>
      <c r="AG446" s="1"/>
    </row>
    <row r="447">
      <c r="A447" s="1"/>
      <c r="B447" s="1"/>
      <c r="C447" s="75"/>
      <c r="D447" s="1"/>
      <c r="E447" s="1"/>
      <c r="F447" s="1"/>
      <c r="G447" s="1"/>
      <c r="H447" s="1"/>
      <c r="I447" s="76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01" t="s">
        <v>857</v>
      </c>
      <c r="V447" s="91" t="s">
        <v>858</v>
      </c>
      <c r="W447" s="142">
        <v>2.0</v>
      </c>
      <c r="X447" s="142">
        <v>8.0</v>
      </c>
      <c r="Y447" s="142">
        <v>0.0</v>
      </c>
      <c r="Z447" s="103">
        <v>0.0</v>
      </c>
      <c r="AA447" s="142" t="s">
        <v>300</v>
      </c>
      <c r="AB447" s="105">
        <v>39.42</v>
      </c>
      <c r="AC447" s="1"/>
      <c r="AD447" s="1"/>
      <c r="AE447" s="1"/>
      <c r="AF447" s="1"/>
      <c r="AG447" s="1"/>
    </row>
    <row r="448">
      <c r="A448" s="1"/>
      <c r="B448" s="1"/>
      <c r="C448" s="75"/>
      <c r="D448" s="1"/>
      <c r="E448" s="1"/>
      <c r="F448" s="1"/>
      <c r="G448" s="1"/>
      <c r="H448" s="1"/>
      <c r="I448" s="76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01" t="s">
        <v>857</v>
      </c>
      <c r="V448" s="91" t="s">
        <v>859</v>
      </c>
      <c r="W448" s="142">
        <v>4.0</v>
      </c>
      <c r="X448" s="142">
        <v>16.0</v>
      </c>
      <c r="Y448" s="142">
        <v>0.0</v>
      </c>
      <c r="Z448" s="103">
        <v>0.0</v>
      </c>
      <c r="AA448" s="142" t="s">
        <v>300</v>
      </c>
      <c r="AB448" s="105">
        <v>78.84</v>
      </c>
      <c r="AC448" s="1"/>
      <c r="AD448" s="1"/>
      <c r="AE448" s="1"/>
      <c r="AF448" s="1"/>
      <c r="AG448" s="1"/>
    </row>
    <row r="449">
      <c r="A449" s="1"/>
      <c r="B449" s="1"/>
      <c r="C449" s="75"/>
      <c r="D449" s="1"/>
      <c r="E449" s="1"/>
      <c r="F449" s="1"/>
      <c r="G449" s="1"/>
      <c r="H449" s="1"/>
      <c r="I449" s="76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01" t="s">
        <v>857</v>
      </c>
      <c r="V449" s="91" t="s">
        <v>860</v>
      </c>
      <c r="W449" s="142">
        <v>8.0</v>
      </c>
      <c r="X449" s="142">
        <v>32.0</v>
      </c>
      <c r="Y449" s="142">
        <v>0.0</v>
      </c>
      <c r="Z449" s="103">
        <v>0.0</v>
      </c>
      <c r="AA449" s="142" t="s">
        <v>441</v>
      </c>
      <c r="AB449" s="105">
        <v>157.61</v>
      </c>
      <c r="AC449" s="1"/>
      <c r="AD449" s="1"/>
      <c r="AE449" s="1"/>
      <c r="AF449" s="1"/>
      <c r="AG449" s="1"/>
    </row>
    <row r="450">
      <c r="A450" s="1"/>
      <c r="B450" s="1"/>
      <c r="C450" s="75"/>
      <c r="D450" s="1"/>
      <c r="E450" s="1"/>
      <c r="F450" s="1"/>
      <c r="G450" s="1"/>
      <c r="H450" s="1"/>
      <c r="I450" s="76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01" t="s">
        <v>857</v>
      </c>
      <c r="V450" s="91" t="s">
        <v>861</v>
      </c>
      <c r="W450" s="142">
        <v>16.0</v>
      </c>
      <c r="X450" s="142">
        <v>64.0</v>
      </c>
      <c r="Y450" s="142">
        <v>0.0</v>
      </c>
      <c r="Z450" s="103">
        <v>0.0</v>
      </c>
      <c r="AA450" s="142" t="s">
        <v>441</v>
      </c>
      <c r="AB450" s="105">
        <v>315.21</v>
      </c>
      <c r="AC450" s="1"/>
      <c r="AD450" s="1"/>
      <c r="AE450" s="1"/>
      <c r="AF450" s="1"/>
      <c r="AG450" s="1"/>
    </row>
    <row r="451">
      <c r="A451" s="1"/>
      <c r="B451" s="1"/>
      <c r="C451" s="75"/>
      <c r="D451" s="1"/>
      <c r="E451" s="1"/>
      <c r="F451" s="1"/>
      <c r="G451" s="1"/>
      <c r="H451" s="1"/>
      <c r="I451" s="76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01" t="s">
        <v>857</v>
      </c>
      <c r="V451" s="91" t="s">
        <v>862</v>
      </c>
      <c r="W451" s="142">
        <v>32.0</v>
      </c>
      <c r="X451" s="142">
        <v>128.0</v>
      </c>
      <c r="Y451" s="142">
        <v>0.0</v>
      </c>
      <c r="Z451" s="103">
        <v>0.0</v>
      </c>
      <c r="AA451" s="142" t="s">
        <v>444</v>
      </c>
      <c r="AB451" s="105">
        <v>630.5</v>
      </c>
      <c r="AC451" s="1"/>
      <c r="AD451" s="1"/>
      <c r="AE451" s="1"/>
      <c r="AF451" s="1"/>
      <c r="AG451" s="1"/>
    </row>
    <row r="452">
      <c r="A452" s="1"/>
      <c r="B452" s="1"/>
      <c r="C452" s="75"/>
      <c r="D452" s="1"/>
      <c r="E452" s="1"/>
      <c r="F452" s="1"/>
      <c r="G452" s="1"/>
      <c r="H452" s="1"/>
      <c r="I452" s="76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01" t="s">
        <v>857</v>
      </c>
      <c r="V452" s="91" t="s">
        <v>863</v>
      </c>
      <c r="W452" s="142">
        <v>48.0</v>
      </c>
      <c r="X452" s="142">
        <v>192.0</v>
      </c>
      <c r="Y452" s="142">
        <v>0.0</v>
      </c>
      <c r="Z452" s="103">
        <v>0.0</v>
      </c>
      <c r="AA452" s="142" t="s">
        <v>446</v>
      </c>
      <c r="AB452" s="105">
        <v>945.72</v>
      </c>
      <c r="AC452" s="1"/>
      <c r="AD452" s="1"/>
      <c r="AE452" s="1"/>
      <c r="AF452" s="1"/>
      <c r="AG452" s="1"/>
    </row>
    <row r="453">
      <c r="A453" s="1"/>
      <c r="B453" s="1"/>
      <c r="C453" s="75"/>
      <c r="D453" s="1"/>
      <c r="E453" s="1"/>
      <c r="F453" s="1"/>
      <c r="G453" s="1"/>
      <c r="H453" s="1"/>
      <c r="I453" s="76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01" t="s">
        <v>857</v>
      </c>
      <c r="V453" s="91" t="s">
        <v>864</v>
      </c>
      <c r="W453" s="142">
        <v>64.0</v>
      </c>
      <c r="X453" s="142">
        <v>256.0</v>
      </c>
      <c r="Y453" s="142">
        <v>0.0</v>
      </c>
      <c r="Z453" s="103">
        <v>0.0</v>
      </c>
      <c r="AA453" s="142" t="s">
        <v>448</v>
      </c>
      <c r="AB453" s="105">
        <v>1260.93</v>
      </c>
      <c r="AC453" s="1"/>
      <c r="AD453" s="1"/>
      <c r="AE453" s="1"/>
      <c r="AF453" s="1"/>
      <c r="AG453" s="1"/>
    </row>
    <row r="454">
      <c r="A454" s="1"/>
      <c r="B454" s="1"/>
      <c r="C454" s="75"/>
      <c r="D454" s="1"/>
      <c r="E454" s="1"/>
      <c r="F454" s="1"/>
      <c r="G454" s="1"/>
      <c r="H454" s="1"/>
      <c r="I454" s="76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01" t="s">
        <v>865</v>
      </c>
      <c r="V454" s="91" t="s">
        <v>866</v>
      </c>
      <c r="W454" s="142">
        <v>1.0</v>
      </c>
      <c r="X454" s="142">
        <v>4.0</v>
      </c>
      <c r="Y454" s="142">
        <v>1900.0</v>
      </c>
      <c r="Z454" s="103">
        <f t="shared" ref="Z454:Z455" si="11">Z455/2</f>
        <v>0.03125</v>
      </c>
      <c r="AA454" s="142" t="s">
        <v>300</v>
      </c>
      <c r="AB454" s="105">
        <v>24.53</v>
      </c>
      <c r="AC454" s="1"/>
      <c r="AD454" s="1"/>
      <c r="AE454" s="1"/>
      <c r="AF454" s="1"/>
      <c r="AG454" s="1"/>
    </row>
    <row r="455">
      <c r="A455" s="1"/>
      <c r="B455" s="1"/>
      <c r="C455" s="75"/>
      <c r="D455" s="1"/>
      <c r="E455" s="1"/>
      <c r="F455" s="1"/>
      <c r="G455" s="1"/>
      <c r="H455" s="1"/>
      <c r="I455" s="76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01" t="s">
        <v>865</v>
      </c>
      <c r="V455" s="91" t="s">
        <v>867</v>
      </c>
      <c r="W455" s="142">
        <v>2.0</v>
      </c>
      <c r="X455" s="142">
        <v>8.0</v>
      </c>
      <c r="Y455" s="142">
        <v>1900.0</v>
      </c>
      <c r="Z455" s="103">
        <f t="shared" si="11"/>
        <v>0.0625</v>
      </c>
      <c r="AA455" s="142" t="s">
        <v>300</v>
      </c>
      <c r="AB455" s="105">
        <v>49.13</v>
      </c>
      <c r="AC455" s="1"/>
      <c r="AD455" s="1"/>
      <c r="AE455" s="1"/>
      <c r="AF455" s="1"/>
      <c r="AG455" s="1"/>
    </row>
    <row r="456">
      <c r="A456" s="1"/>
      <c r="B456" s="1"/>
      <c r="C456" s="75"/>
      <c r="D456" s="1"/>
      <c r="E456" s="1"/>
      <c r="F456" s="1"/>
      <c r="G456" s="1"/>
      <c r="H456" s="1"/>
      <c r="I456" s="76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01" t="s">
        <v>865</v>
      </c>
      <c r="V456" s="91" t="s">
        <v>868</v>
      </c>
      <c r="W456" s="142">
        <v>4.0</v>
      </c>
      <c r="X456" s="142">
        <v>16.0</v>
      </c>
      <c r="Y456" s="142">
        <v>1900.0</v>
      </c>
      <c r="Z456" s="103">
        <v>0.125</v>
      </c>
      <c r="AA456" s="142" t="s">
        <v>300</v>
      </c>
      <c r="AB456" s="105">
        <v>98.19</v>
      </c>
      <c r="AC456" s="1"/>
      <c r="AD456" s="1"/>
      <c r="AE456" s="1"/>
      <c r="AF456" s="1"/>
      <c r="AG456" s="1"/>
    </row>
    <row r="457">
      <c r="A457" s="1"/>
      <c r="B457" s="1"/>
      <c r="C457" s="75"/>
      <c r="D457" s="1"/>
      <c r="E457" s="1"/>
      <c r="F457" s="1"/>
      <c r="G457" s="1"/>
      <c r="H457" s="1"/>
      <c r="I457" s="76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01" t="s">
        <v>865</v>
      </c>
      <c r="V457" s="91" t="s">
        <v>869</v>
      </c>
      <c r="W457" s="142">
        <v>8.0</v>
      </c>
      <c r="X457" s="142">
        <v>32.0</v>
      </c>
      <c r="Y457" s="142">
        <v>1900.0</v>
      </c>
      <c r="Z457" s="103">
        <v>0.25</v>
      </c>
      <c r="AA457" s="142" t="s">
        <v>441</v>
      </c>
      <c r="AB457" s="105">
        <v>196.44</v>
      </c>
      <c r="AC457" s="1"/>
      <c r="AD457" s="1"/>
      <c r="AE457" s="1"/>
      <c r="AF457" s="1"/>
      <c r="AG457" s="1"/>
    </row>
    <row r="458">
      <c r="A458" s="1"/>
      <c r="B458" s="1"/>
      <c r="C458" s="75"/>
      <c r="D458" s="1"/>
      <c r="E458" s="1"/>
      <c r="F458" s="1"/>
      <c r="G458" s="1"/>
      <c r="H458" s="1"/>
      <c r="I458" s="76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01" t="s">
        <v>870</v>
      </c>
      <c r="V458" s="91" t="s">
        <v>871</v>
      </c>
      <c r="W458" s="142">
        <v>16.0</v>
      </c>
      <c r="X458" s="142">
        <v>64.0</v>
      </c>
      <c r="Y458" s="142">
        <v>1900.0</v>
      </c>
      <c r="Z458" s="103">
        <v>0.5</v>
      </c>
      <c r="AA458" s="142" t="s">
        <v>441</v>
      </c>
      <c r="AB458" s="105">
        <v>392.89</v>
      </c>
      <c r="AC458" s="1"/>
      <c r="AD458" s="1"/>
      <c r="AE458" s="1"/>
      <c r="AF458" s="1"/>
      <c r="AG458" s="1"/>
    </row>
    <row r="459">
      <c r="A459" s="1"/>
      <c r="B459" s="1"/>
      <c r="C459" s="75"/>
      <c r="D459" s="1"/>
      <c r="E459" s="1"/>
      <c r="F459" s="1"/>
      <c r="G459" s="1"/>
      <c r="H459" s="1"/>
      <c r="I459" s="76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01" t="s">
        <v>865</v>
      </c>
      <c r="V459" s="91" t="s">
        <v>872</v>
      </c>
      <c r="W459" s="142">
        <v>32.0</v>
      </c>
      <c r="X459" s="142">
        <v>128.0</v>
      </c>
      <c r="Y459" s="142">
        <v>1900.0</v>
      </c>
      <c r="Z459" s="103">
        <v>1.0</v>
      </c>
      <c r="AA459" s="142" t="s">
        <v>444</v>
      </c>
      <c r="AB459" s="105">
        <v>785.77</v>
      </c>
      <c r="AC459" s="1"/>
      <c r="AD459" s="1"/>
      <c r="AE459" s="1"/>
      <c r="AF459" s="1"/>
      <c r="AG459" s="1"/>
    </row>
    <row r="460">
      <c r="A460" s="1"/>
      <c r="B460" s="1"/>
      <c r="C460" s="75"/>
      <c r="D460" s="1"/>
      <c r="E460" s="1"/>
      <c r="F460" s="1"/>
      <c r="G460" s="1"/>
      <c r="H460" s="1"/>
      <c r="I460" s="76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01" t="s">
        <v>865</v>
      </c>
      <c r="V460" s="91" t="s">
        <v>873</v>
      </c>
      <c r="W460" s="142">
        <v>48.0</v>
      </c>
      <c r="X460" s="142">
        <v>192.0</v>
      </c>
      <c r="Y460" s="142">
        <v>1900.0</v>
      </c>
      <c r="Z460" s="103">
        <f>2*1425/1900</f>
        <v>1.5</v>
      </c>
      <c r="AA460" s="142" t="s">
        <v>446</v>
      </c>
      <c r="AB460" s="105">
        <v>1178.66</v>
      </c>
      <c r="AC460" s="1"/>
      <c r="AD460" s="1"/>
      <c r="AE460" s="1"/>
      <c r="AF460" s="1"/>
      <c r="AG460" s="1"/>
    </row>
    <row r="461">
      <c r="A461" s="1"/>
      <c r="B461" s="1"/>
      <c r="C461" s="75"/>
      <c r="D461" s="1"/>
      <c r="E461" s="1"/>
      <c r="F461" s="1"/>
      <c r="G461" s="1"/>
      <c r="H461" s="1"/>
      <c r="I461" s="76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01" t="s">
        <v>865</v>
      </c>
      <c r="V461" s="91" t="s">
        <v>874</v>
      </c>
      <c r="W461" s="142">
        <v>64.0</v>
      </c>
      <c r="X461" s="142">
        <v>256.0</v>
      </c>
      <c r="Y461" s="142">
        <v>1900.0</v>
      </c>
      <c r="Z461" s="103">
        <v>2.0</v>
      </c>
      <c r="AA461" s="142" t="s">
        <v>448</v>
      </c>
      <c r="AB461" s="105">
        <v>1571.54</v>
      </c>
      <c r="AC461" s="1"/>
      <c r="AD461" s="1"/>
      <c r="AE461" s="1"/>
      <c r="AF461" s="1"/>
      <c r="AG461" s="1"/>
    </row>
    <row r="462">
      <c r="A462" s="1"/>
      <c r="B462" s="1"/>
      <c r="C462" s="75"/>
      <c r="D462" s="1"/>
      <c r="E462" s="1"/>
      <c r="F462" s="1"/>
      <c r="G462" s="1"/>
      <c r="H462" s="1"/>
      <c r="I462" s="76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01" t="s">
        <v>875</v>
      </c>
      <c r="V462" s="91" t="s">
        <v>876</v>
      </c>
      <c r="W462" s="142">
        <v>2.0</v>
      </c>
      <c r="X462" s="142">
        <v>8.0</v>
      </c>
      <c r="Y462" s="142">
        <v>0.0</v>
      </c>
      <c r="Z462" s="103">
        <v>0.0</v>
      </c>
      <c r="AA462" s="142" t="s">
        <v>300</v>
      </c>
      <c r="AB462" s="105">
        <v>46.24</v>
      </c>
      <c r="AC462" s="1"/>
      <c r="AD462" s="1"/>
      <c r="AE462" s="1"/>
      <c r="AF462" s="1"/>
      <c r="AG462" s="1"/>
    </row>
    <row r="463">
      <c r="A463" s="1"/>
      <c r="B463" s="1"/>
      <c r="C463" s="75"/>
      <c r="D463" s="1"/>
      <c r="E463" s="1"/>
      <c r="F463" s="1"/>
      <c r="G463" s="1"/>
      <c r="H463" s="1"/>
      <c r="I463" s="76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01" t="s">
        <v>877</v>
      </c>
      <c r="V463" s="91" t="s">
        <v>878</v>
      </c>
      <c r="W463" s="142">
        <v>4.0</v>
      </c>
      <c r="X463" s="142">
        <v>16.0</v>
      </c>
      <c r="Y463" s="142">
        <v>0.0</v>
      </c>
      <c r="Z463" s="103">
        <v>0.0</v>
      </c>
      <c r="AA463" s="142" t="s">
        <v>300</v>
      </c>
      <c r="AB463" s="105">
        <v>92.48</v>
      </c>
      <c r="AC463" s="1"/>
      <c r="AD463" s="1"/>
      <c r="AE463" s="1"/>
      <c r="AF463" s="1"/>
      <c r="AG463" s="1"/>
    </row>
    <row r="464">
      <c r="A464" s="1"/>
      <c r="B464" s="1"/>
      <c r="C464" s="75"/>
      <c r="D464" s="1"/>
      <c r="E464" s="1"/>
      <c r="F464" s="1"/>
      <c r="G464" s="1"/>
      <c r="H464" s="1"/>
      <c r="I464" s="76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01" t="s">
        <v>877</v>
      </c>
      <c r="V464" s="91" t="s">
        <v>879</v>
      </c>
      <c r="W464" s="142">
        <v>8.0</v>
      </c>
      <c r="X464" s="142">
        <v>32.0</v>
      </c>
      <c r="Y464" s="142">
        <v>0.0</v>
      </c>
      <c r="Z464" s="103">
        <v>0.0</v>
      </c>
      <c r="AA464" s="142" t="s">
        <v>300</v>
      </c>
      <c r="AB464" s="105">
        <v>184.95</v>
      </c>
      <c r="AC464" s="1"/>
      <c r="AD464" s="1"/>
      <c r="AE464" s="1"/>
      <c r="AF464" s="1"/>
      <c r="AG464" s="1"/>
    </row>
    <row r="465">
      <c r="A465" s="1"/>
      <c r="B465" s="1"/>
      <c r="C465" s="75"/>
      <c r="D465" s="1"/>
      <c r="E465" s="1"/>
      <c r="F465" s="1"/>
      <c r="G465" s="1"/>
      <c r="H465" s="1"/>
      <c r="I465" s="76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01" t="s">
        <v>877</v>
      </c>
      <c r="V465" s="91" t="s">
        <v>880</v>
      </c>
      <c r="W465" s="142">
        <v>16.0</v>
      </c>
      <c r="X465" s="142">
        <v>64.0</v>
      </c>
      <c r="Y465" s="142">
        <v>0.0</v>
      </c>
      <c r="Z465" s="103">
        <v>0.0</v>
      </c>
      <c r="AA465" s="142" t="s">
        <v>300</v>
      </c>
      <c r="AB465" s="105">
        <v>369.91</v>
      </c>
      <c r="AC465" s="1"/>
      <c r="AD465" s="1"/>
      <c r="AE465" s="1"/>
      <c r="AF465" s="1"/>
      <c r="AG465" s="1"/>
    </row>
    <row r="466">
      <c r="A466" s="1"/>
      <c r="B466" s="1"/>
      <c r="C466" s="75"/>
      <c r="D466" s="1"/>
      <c r="E466" s="1"/>
      <c r="F466" s="1"/>
      <c r="G466" s="1"/>
      <c r="H466" s="1"/>
      <c r="I466" s="76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01" t="s">
        <v>877</v>
      </c>
      <c r="V466" s="91" t="s">
        <v>881</v>
      </c>
      <c r="W466" s="142">
        <v>32.0</v>
      </c>
      <c r="X466" s="142">
        <v>128.0</v>
      </c>
      <c r="Y466" s="142">
        <v>0.0</v>
      </c>
      <c r="Z466" s="103">
        <v>0.0</v>
      </c>
      <c r="AA466" s="142" t="s">
        <v>300</v>
      </c>
      <c r="AB466" s="105">
        <v>739.83</v>
      </c>
      <c r="AC466" s="1"/>
      <c r="AD466" s="1"/>
      <c r="AE466" s="1"/>
      <c r="AF466" s="1"/>
      <c r="AG466" s="1"/>
    </row>
    <row r="467">
      <c r="A467" s="1"/>
      <c r="B467" s="1"/>
      <c r="C467" s="75"/>
      <c r="D467" s="1"/>
      <c r="E467" s="1"/>
      <c r="F467" s="1"/>
      <c r="G467" s="1"/>
      <c r="H467" s="1"/>
      <c r="I467" s="76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01" t="s">
        <v>877</v>
      </c>
      <c r="V467" s="91" t="s">
        <v>882</v>
      </c>
      <c r="W467" s="142">
        <v>48.0</v>
      </c>
      <c r="X467" s="142">
        <v>192.0</v>
      </c>
      <c r="Y467" s="142">
        <v>0.0</v>
      </c>
      <c r="Z467" s="103">
        <v>0.0</v>
      </c>
      <c r="AA467" s="142" t="s">
        <v>477</v>
      </c>
      <c r="AB467" s="105">
        <v>1109.74</v>
      </c>
      <c r="AC467" s="1"/>
      <c r="AD467" s="1"/>
      <c r="AE467" s="1"/>
      <c r="AF467" s="1"/>
      <c r="AG467" s="1"/>
    </row>
    <row r="468">
      <c r="A468" s="1"/>
      <c r="B468" s="1"/>
      <c r="C468" s="75"/>
      <c r="D468" s="1"/>
      <c r="E468" s="1"/>
      <c r="F468" s="1"/>
      <c r="G468" s="1"/>
      <c r="H468" s="1"/>
      <c r="I468" s="76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01" t="s">
        <v>877</v>
      </c>
      <c r="V468" s="91" t="s">
        <v>883</v>
      </c>
      <c r="W468" s="142">
        <v>64.0</v>
      </c>
      <c r="X468" s="142">
        <v>256.0</v>
      </c>
      <c r="Y468" s="142">
        <v>0.0</v>
      </c>
      <c r="Z468" s="103">
        <v>0.0</v>
      </c>
      <c r="AA468" s="142" t="s">
        <v>284</v>
      </c>
      <c r="AB468" s="105">
        <v>1479.65</v>
      </c>
      <c r="AC468" s="1"/>
      <c r="AD468" s="1"/>
      <c r="AE468" s="1"/>
      <c r="AF468" s="1"/>
      <c r="AG468" s="1"/>
    </row>
    <row r="469">
      <c r="A469" s="1"/>
      <c r="B469" s="1"/>
      <c r="C469" s="75"/>
      <c r="D469" s="1"/>
      <c r="E469" s="1"/>
      <c r="F469" s="1"/>
      <c r="G469" s="1"/>
      <c r="H469" s="1"/>
      <c r="I469" s="76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01" t="s">
        <v>884</v>
      </c>
      <c r="V469" s="91" t="s">
        <v>885</v>
      </c>
      <c r="W469" s="142">
        <v>2.0</v>
      </c>
      <c r="X469" s="142">
        <v>8.0</v>
      </c>
      <c r="Y469" s="142">
        <v>0.0</v>
      </c>
      <c r="Z469" s="103">
        <v>0.0</v>
      </c>
      <c r="AA469" s="142" t="s">
        <v>300</v>
      </c>
      <c r="AB469" s="105">
        <v>48.68</v>
      </c>
      <c r="AC469" s="1"/>
      <c r="AD469" s="1"/>
      <c r="AE469" s="1"/>
      <c r="AF469" s="1"/>
      <c r="AG469" s="1"/>
    </row>
    <row r="470">
      <c r="A470" s="1"/>
      <c r="B470" s="1"/>
      <c r="C470" s="75"/>
      <c r="D470" s="1"/>
      <c r="E470" s="1"/>
      <c r="F470" s="1"/>
      <c r="G470" s="1"/>
      <c r="H470" s="1"/>
      <c r="I470" s="76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01" t="s">
        <v>886</v>
      </c>
      <c r="V470" s="91" t="s">
        <v>887</v>
      </c>
      <c r="W470" s="142">
        <v>4.0</v>
      </c>
      <c r="X470" s="142">
        <v>16.0</v>
      </c>
      <c r="Y470" s="142">
        <v>0.0</v>
      </c>
      <c r="Z470" s="103">
        <v>0.0</v>
      </c>
      <c r="AA470" s="142" t="s">
        <v>300</v>
      </c>
      <c r="AB470" s="105">
        <v>97.35</v>
      </c>
      <c r="AC470" s="1"/>
      <c r="AD470" s="1"/>
      <c r="AE470" s="1"/>
      <c r="AF470" s="1"/>
      <c r="AG470" s="1"/>
    </row>
    <row r="471">
      <c r="A471" s="1"/>
      <c r="B471" s="1"/>
      <c r="C471" s="75"/>
      <c r="D471" s="1"/>
      <c r="E471" s="1"/>
      <c r="F471" s="1"/>
      <c r="G471" s="1"/>
      <c r="H471" s="1"/>
      <c r="I471" s="76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01" t="s">
        <v>886</v>
      </c>
      <c r="V471" s="91" t="s">
        <v>888</v>
      </c>
      <c r="W471" s="142">
        <v>8.0</v>
      </c>
      <c r="X471" s="142">
        <v>32.0</v>
      </c>
      <c r="Y471" s="142">
        <v>0.0</v>
      </c>
      <c r="Z471" s="103">
        <v>0.0</v>
      </c>
      <c r="AA471" s="142" t="s">
        <v>300</v>
      </c>
      <c r="AB471" s="105">
        <v>194.71</v>
      </c>
      <c r="AC471" s="1"/>
      <c r="AD471" s="1"/>
      <c r="AE471" s="1"/>
      <c r="AF471" s="1"/>
      <c r="AG471" s="1"/>
    </row>
    <row r="472">
      <c r="A472" s="1"/>
      <c r="B472" s="1"/>
      <c r="C472" s="75"/>
      <c r="D472" s="1"/>
      <c r="E472" s="1"/>
      <c r="F472" s="1"/>
      <c r="G472" s="1"/>
      <c r="H472" s="1"/>
      <c r="I472" s="76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01" t="s">
        <v>886</v>
      </c>
      <c r="V472" s="91" t="s">
        <v>889</v>
      </c>
      <c r="W472" s="142">
        <v>16.0</v>
      </c>
      <c r="X472" s="142">
        <v>64.0</v>
      </c>
      <c r="Y472" s="142">
        <v>0.0</v>
      </c>
      <c r="Z472" s="103">
        <v>0.0</v>
      </c>
      <c r="AA472" s="142" t="s">
        <v>300</v>
      </c>
      <c r="AB472" s="105">
        <v>389.4</v>
      </c>
      <c r="AC472" s="1"/>
      <c r="AD472" s="1"/>
      <c r="AE472" s="1"/>
      <c r="AF472" s="1"/>
      <c r="AG472" s="1"/>
    </row>
    <row r="473">
      <c r="A473" s="1"/>
      <c r="B473" s="1"/>
      <c r="C473" s="75"/>
      <c r="D473" s="1"/>
      <c r="E473" s="1"/>
      <c r="F473" s="1"/>
      <c r="G473" s="1"/>
      <c r="H473" s="1"/>
      <c r="I473" s="76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01" t="s">
        <v>886</v>
      </c>
      <c r="V473" s="91" t="s">
        <v>890</v>
      </c>
      <c r="W473" s="142">
        <v>32.0</v>
      </c>
      <c r="X473" s="142">
        <v>128.0</v>
      </c>
      <c r="Y473" s="142">
        <v>0.0</v>
      </c>
      <c r="Z473" s="103">
        <v>0.0</v>
      </c>
      <c r="AA473" s="142" t="s">
        <v>308</v>
      </c>
      <c r="AB473" s="105">
        <v>778.82</v>
      </c>
      <c r="AC473" s="1"/>
      <c r="AD473" s="1"/>
      <c r="AE473" s="1"/>
      <c r="AF473" s="1"/>
      <c r="AG473" s="1"/>
    </row>
    <row r="474">
      <c r="A474" s="1"/>
      <c r="B474" s="1"/>
      <c r="C474" s="75"/>
      <c r="D474" s="1"/>
      <c r="E474" s="1"/>
      <c r="F474" s="1"/>
      <c r="G474" s="1"/>
      <c r="H474" s="1"/>
      <c r="I474" s="76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01" t="s">
        <v>886</v>
      </c>
      <c r="V474" s="91" t="s">
        <v>891</v>
      </c>
      <c r="W474" s="142">
        <v>48.0</v>
      </c>
      <c r="X474" s="142">
        <v>192.0</v>
      </c>
      <c r="Y474" s="142">
        <v>0.0</v>
      </c>
      <c r="Z474" s="103">
        <v>0.0</v>
      </c>
      <c r="AA474" s="142" t="s">
        <v>311</v>
      </c>
      <c r="AB474" s="105">
        <v>1168.22</v>
      </c>
      <c r="AC474" s="1"/>
      <c r="AD474" s="1"/>
      <c r="AE474" s="1"/>
      <c r="AF474" s="1"/>
      <c r="AG474" s="1"/>
    </row>
    <row r="475">
      <c r="A475" s="1"/>
      <c r="B475" s="1"/>
      <c r="C475" s="75"/>
      <c r="D475" s="1"/>
      <c r="E475" s="1"/>
      <c r="F475" s="1"/>
      <c r="G475" s="1"/>
      <c r="H475" s="1"/>
      <c r="I475" s="76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01" t="s">
        <v>886</v>
      </c>
      <c r="V475" s="91" t="s">
        <v>892</v>
      </c>
      <c r="W475" s="142">
        <v>64.0</v>
      </c>
      <c r="X475" s="142">
        <v>256.0</v>
      </c>
      <c r="Y475" s="142">
        <v>0.0</v>
      </c>
      <c r="Z475" s="103">
        <v>0.0</v>
      </c>
      <c r="AA475" s="142" t="s">
        <v>208</v>
      </c>
      <c r="AB475" s="105">
        <v>1557.62</v>
      </c>
      <c r="AC475" s="1"/>
      <c r="AD475" s="1"/>
      <c r="AE475" s="1"/>
      <c r="AF475" s="1"/>
      <c r="AG475" s="1"/>
    </row>
    <row r="476">
      <c r="A476" s="1"/>
      <c r="B476" s="1"/>
      <c r="C476" s="75"/>
      <c r="D476" s="1"/>
      <c r="E476" s="1"/>
      <c r="F476" s="1"/>
      <c r="G476" s="1"/>
      <c r="H476" s="1"/>
      <c r="I476" s="76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01" t="s">
        <v>886</v>
      </c>
      <c r="V476" s="91" t="s">
        <v>893</v>
      </c>
      <c r="W476" s="142">
        <v>96.0</v>
      </c>
      <c r="X476" s="142">
        <v>384.0</v>
      </c>
      <c r="Y476" s="142">
        <v>0.0</v>
      </c>
      <c r="Z476" s="103">
        <v>0.0</v>
      </c>
      <c r="AA476" s="142" t="s">
        <v>315</v>
      </c>
      <c r="AB476" s="105">
        <v>2336.44</v>
      </c>
      <c r="AC476" s="1"/>
      <c r="AD476" s="1"/>
      <c r="AE476" s="1"/>
      <c r="AF476" s="1"/>
      <c r="AG476" s="1"/>
    </row>
    <row r="477">
      <c r="A477" s="1"/>
      <c r="B477" s="1"/>
      <c r="C477" s="75"/>
      <c r="D477" s="1"/>
      <c r="E477" s="1"/>
      <c r="F477" s="1"/>
      <c r="G477" s="1"/>
      <c r="H477" s="1"/>
      <c r="I477" s="76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01" t="s">
        <v>886</v>
      </c>
      <c r="V477" s="91" t="s">
        <v>894</v>
      </c>
      <c r="W477" s="142">
        <v>192.0</v>
      </c>
      <c r="X477" s="142">
        <v>768.0</v>
      </c>
      <c r="Y477" s="142">
        <v>0.0</v>
      </c>
      <c r="Z477" s="103">
        <v>0.0</v>
      </c>
      <c r="AA477" s="142" t="s">
        <v>294</v>
      </c>
      <c r="AB477" s="105">
        <v>4672.88</v>
      </c>
      <c r="AC477" s="1"/>
      <c r="AD477" s="1"/>
      <c r="AE477" s="1"/>
      <c r="AF477" s="1"/>
      <c r="AG477" s="1"/>
    </row>
    <row r="478">
      <c r="A478" s="1"/>
      <c r="B478" s="1"/>
      <c r="C478" s="75"/>
      <c r="D478" s="1"/>
      <c r="E478" s="1"/>
      <c r="F478" s="1"/>
      <c r="G478" s="1"/>
      <c r="H478" s="1"/>
      <c r="I478" s="76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01" t="s">
        <v>895</v>
      </c>
      <c r="V478" s="91" t="s">
        <v>896</v>
      </c>
      <c r="W478" s="142">
        <v>1.0</v>
      </c>
      <c r="X478" s="142">
        <v>4.0</v>
      </c>
      <c r="Y478" s="142">
        <v>0.0</v>
      </c>
      <c r="Z478" s="103">
        <v>0.0</v>
      </c>
      <c r="AA478" s="142" t="s">
        <v>300</v>
      </c>
      <c r="AB478" s="105">
        <v>21.67</v>
      </c>
      <c r="AC478" s="1"/>
      <c r="AD478" s="1"/>
      <c r="AE478" s="1"/>
      <c r="AF478" s="1"/>
      <c r="AG478" s="1"/>
    </row>
    <row r="479">
      <c r="A479" s="1"/>
      <c r="B479" s="1"/>
      <c r="C479" s="75"/>
      <c r="D479" s="1"/>
      <c r="E479" s="1"/>
      <c r="F479" s="1"/>
      <c r="G479" s="1"/>
      <c r="H479" s="1"/>
      <c r="I479" s="76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01" t="s">
        <v>897</v>
      </c>
      <c r="V479" s="91" t="s">
        <v>898</v>
      </c>
      <c r="W479" s="142">
        <v>2.0</v>
      </c>
      <c r="X479" s="142">
        <v>8.0</v>
      </c>
      <c r="Y479" s="142">
        <v>0.0</v>
      </c>
      <c r="Z479" s="103">
        <v>0.0</v>
      </c>
      <c r="AA479" s="142" t="s">
        <v>300</v>
      </c>
      <c r="AB479" s="105">
        <v>43.35</v>
      </c>
      <c r="AC479" s="1"/>
      <c r="AD479" s="1"/>
      <c r="AE479" s="1"/>
      <c r="AF479" s="1"/>
      <c r="AG479" s="1"/>
    </row>
    <row r="480">
      <c r="A480" s="1"/>
      <c r="B480" s="1"/>
      <c r="C480" s="75"/>
      <c r="D480" s="1"/>
      <c r="E480" s="1"/>
      <c r="F480" s="1"/>
      <c r="G480" s="1"/>
      <c r="H480" s="1"/>
      <c r="I480" s="76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01" t="s">
        <v>897</v>
      </c>
      <c r="V480" s="91" t="s">
        <v>899</v>
      </c>
      <c r="W480" s="142">
        <v>4.0</v>
      </c>
      <c r="X480" s="142">
        <v>16.0</v>
      </c>
      <c r="Y480" s="142">
        <v>0.0</v>
      </c>
      <c r="Z480" s="103">
        <v>0.0</v>
      </c>
      <c r="AA480" s="142" t="s">
        <v>300</v>
      </c>
      <c r="AB480" s="105">
        <v>86.69</v>
      </c>
      <c r="AC480" s="1"/>
      <c r="AD480" s="1"/>
      <c r="AE480" s="1"/>
      <c r="AF480" s="1"/>
      <c r="AG480" s="1"/>
    </row>
    <row r="481">
      <c r="A481" s="1"/>
      <c r="B481" s="1"/>
      <c r="C481" s="75"/>
      <c r="D481" s="1"/>
      <c r="E481" s="1"/>
      <c r="F481" s="1"/>
      <c r="G481" s="1"/>
      <c r="H481" s="1"/>
      <c r="I481" s="76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01" t="s">
        <v>897</v>
      </c>
      <c r="V481" s="91" t="s">
        <v>900</v>
      </c>
      <c r="W481" s="142">
        <v>8.0</v>
      </c>
      <c r="X481" s="142">
        <v>32.0</v>
      </c>
      <c r="Y481" s="142">
        <v>0.0</v>
      </c>
      <c r="Z481" s="103">
        <v>0.0</v>
      </c>
      <c r="AA481" s="142" t="s">
        <v>441</v>
      </c>
      <c r="AB481" s="105">
        <v>173.38</v>
      </c>
      <c r="AC481" s="1"/>
      <c r="AD481" s="1"/>
      <c r="AE481" s="1"/>
      <c r="AF481" s="1"/>
      <c r="AG481" s="1"/>
    </row>
    <row r="482">
      <c r="A482" s="1"/>
      <c r="B482" s="1"/>
      <c r="C482" s="75"/>
      <c r="D482" s="1"/>
      <c r="E482" s="1"/>
      <c r="F482" s="1"/>
      <c r="G482" s="1"/>
      <c r="H482" s="1"/>
      <c r="I482" s="76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01" t="s">
        <v>897</v>
      </c>
      <c r="V482" s="91" t="s">
        <v>901</v>
      </c>
      <c r="W482" s="142">
        <v>16.0</v>
      </c>
      <c r="X482" s="142">
        <v>64.0</v>
      </c>
      <c r="Y482" s="142">
        <v>0.0</v>
      </c>
      <c r="Z482" s="103">
        <v>0.0</v>
      </c>
      <c r="AA482" s="142" t="s">
        <v>441</v>
      </c>
      <c r="AB482" s="105">
        <v>346.76</v>
      </c>
      <c r="AC482" s="1"/>
      <c r="AD482" s="1"/>
      <c r="AE482" s="1"/>
      <c r="AF482" s="1"/>
      <c r="AG482" s="1"/>
    </row>
    <row r="483">
      <c r="A483" s="1"/>
      <c r="B483" s="1"/>
      <c r="C483" s="75"/>
      <c r="D483" s="1"/>
      <c r="E483" s="1"/>
      <c r="F483" s="1"/>
      <c r="G483" s="1"/>
      <c r="H483" s="1"/>
      <c r="I483" s="76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01" t="s">
        <v>897</v>
      </c>
      <c r="V483" s="91" t="s">
        <v>902</v>
      </c>
      <c r="W483" s="142">
        <v>32.0</v>
      </c>
      <c r="X483" s="142">
        <v>128.0</v>
      </c>
      <c r="Y483" s="142">
        <v>0.0</v>
      </c>
      <c r="Z483" s="103">
        <v>0.0</v>
      </c>
      <c r="AA483" s="142" t="s">
        <v>444</v>
      </c>
      <c r="AB483" s="105">
        <v>693.51</v>
      </c>
      <c r="AC483" s="1"/>
      <c r="AD483" s="1"/>
      <c r="AE483" s="1"/>
      <c r="AF483" s="1"/>
      <c r="AG483" s="1"/>
    </row>
    <row r="484">
      <c r="A484" s="1"/>
      <c r="B484" s="1"/>
      <c r="C484" s="75"/>
      <c r="D484" s="1"/>
      <c r="E484" s="1"/>
      <c r="F484" s="1"/>
      <c r="G484" s="1"/>
      <c r="H484" s="1"/>
      <c r="I484" s="76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01" t="s">
        <v>897</v>
      </c>
      <c r="V484" s="91" t="s">
        <v>903</v>
      </c>
      <c r="W484" s="142">
        <v>48.0</v>
      </c>
      <c r="X484" s="142">
        <v>192.0</v>
      </c>
      <c r="Y484" s="142">
        <v>0.0</v>
      </c>
      <c r="Z484" s="103">
        <v>0.0</v>
      </c>
      <c r="AA484" s="142" t="s">
        <v>446</v>
      </c>
      <c r="AB484" s="105">
        <v>1040.27</v>
      </c>
      <c r="AC484" s="1"/>
      <c r="AD484" s="1"/>
      <c r="AE484" s="1"/>
      <c r="AF484" s="1"/>
      <c r="AG484" s="1"/>
    </row>
    <row r="485">
      <c r="A485" s="1"/>
      <c r="B485" s="1"/>
      <c r="C485" s="75"/>
      <c r="D485" s="1"/>
      <c r="E485" s="1"/>
      <c r="F485" s="1"/>
      <c r="G485" s="1"/>
      <c r="H485" s="1"/>
      <c r="I485" s="76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01" t="s">
        <v>897</v>
      </c>
      <c r="V485" s="91" t="s">
        <v>904</v>
      </c>
      <c r="W485" s="142">
        <v>64.0</v>
      </c>
      <c r="X485" s="142">
        <v>256.0</v>
      </c>
      <c r="Y485" s="142">
        <v>0.0</v>
      </c>
      <c r="Z485" s="103">
        <v>0.0</v>
      </c>
      <c r="AA485" s="142" t="s">
        <v>448</v>
      </c>
      <c r="AB485" s="105">
        <v>1387.03</v>
      </c>
      <c r="AC485" s="1"/>
      <c r="AD485" s="1"/>
      <c r="AE485" s="1"/>
      <c r="AF485" s="1"/>
      <c r="AG485" s="1"/>
    </row>
    <row r="486">
      <c r="A486" s="1"/>
      <c r="B486" s="1"/>
      <c r="C486" s="75"/>
      <c r="D486" s="1"/>
      <c r="E486" s="1"/>
      <c r="F486" s="1"/>
      <c r="G486" s="1"/>
      <c r="H486" s="1"/>
      <c r="I486" s="76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01" t="s">
        <v>897</v>
      </c>
      <c r="V486" s="91" t="s">
        <v>905</v>
      </c>
      <c r="W486" s="142">
        <v>96.0</v>
      </c>
      <c r="X486" s="142">
        <v>384.0</v>
      </c>
      <c r="Y486" s="142">
        <v>0.0</v>
      </c>
      <c r="Z486" s="103">
        <v>0.0</v>
      </c>
      <c r="AA486" s="142" t="s">
        <v>501</v>
      </c>
      <c r="AB486" s="105">
        <v>2080.54</v>
      </c>
      <c r="AC486" s="1"/>
      <c r="AD486" s="1"/>
      <c r="AE486" s="1"/>
      <c r="AF486" s="1"/>
      <c r="AG486" s="1"/>
    </row>
    <row r="487">
      <c r="A487" s="1"/>
      <c r="B487" s="1"/>
      <c r="C487" s="75"/>
      <c r="D487" s="1"/>
      <c r="E487" s="1"/>
      <c r="F487" s="1"/>
      <c r="G487" s="1"/>
      <c r="H487" s="1"/>
      <c r="I487" s="76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01" t="s">
        <v>897</v>
      </c>
      <c r="V487" s="91" t="s">
        <v>906</v>
      </c>
      <c r="W487" s="142">
        <v>192.0</v>
      </c>
      <c r="X487" s="142">
        <v>768.0</v>
      </c>
      <c r="Y487" s="142">
        <v>0.0</v>
      </c>
      <c r="Z487" s="103">
        <v>0.0</v>
      </c>
      <c r="AA487" s="142" t="s">
        <v>294</v>
      </c>
      <c r="AB487" s="105">
        <v>4161.09</v>
      </c>
      <c r="AC487" s="1"/>
      <c r="AD487" s="1"/>
      <c r="AE487" s="1"/>
      <c r="AF487" s="1"/>
      <c r="AG487" s="1"/>
    </row>
    <row r="488">
      <c r="A488" s="1"/>
      <c r="B488" s="1"/>
      <c r="C488" s="75"/>
      <c r="D488" s="1"/>
      <c r="E488" s="1"/>
      <c r="F488" s="1"/>
      <c r="G488" s="1"/>
      <c r="H488" s="1"/>
      <c r="I488" s="76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01" t="s">
        <v>907</v>
      </c>
      <c r="V488" s="91" t="s">
        <v>908</v>
      </c>
      <c r="W488" s="142">
        <v>1.0</v>
      </c>
      <c r="X488" s="142">
        <v>4.0</v>
      </c>
      <c r="Y488" s="142">
        <v>1900.0</v>
      </c>
      <c r="Z488" s="103">
        <f t="shared" ref="Z488:Z489" si="12">Z489/2</f>
        <v>0.03125</v>
      </c>
      <c r="AA488" s="142" t="s">
        <v>300</v>
      </c>
      <c r="AB488" s="105">
        <v>27.74</v>
      </c>
      <c r="AC488" s="1"/>
      <c r="AD488" s="1"/>
      <c r="AE488" s="1"/>
      <c r="AF488" s="1"/>
      <c r="AG488" s="1"/>
    </row>
    <row r="489">
      <c r="A489" s="1"/>
      <c r="B489" s="1"/>
      <c r="C489" s="75"/>
      <c r="D489" s="1"/>
      <c r="E489" s="1"/>
      <c r="F489" s="1"/>
      <c r="G489" s="1"/>
      <c r="H489" s="1"/>
      <c r="I489" s="76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01" t="s">
        <v>907</v>
      </c>
      <c r="V489" s="91" t="s">
        <v>909</v>
      </c>
      <c r="W489" s="142">
        <v>2.0</v>
      </c>
      <c r="X489" s="142">
        <v>8.0</v>
      </c>
      <c r="Y489" s="142">
        <v>1900.0</v>
      </c>
      <c r="Z489" s="103">
        <f t="shared" si="12"/>
        <v>0.0625</v>
      </c>
      <c r="AA489" s="142" t="s">
        <v>300</v>
      </c>
      <c r="AB489" s="105">
        <v>55.47</v>
      </c>
      <c r="AC489" s="1"/>
      <c r="AD489" s="1"/>
      <c r="AE489" s="1"/>
      <c r="AF489" s="1"/>
      <c r="AG489" s="1"/>
    </row>
    <row r="490">
      <c r="A490" s="1"/>
      <c r="B490" s="1"/>
      <c r="C490" s="75"/>
      <c r="D490" s="1"/>
      <c r="E490" s="1"/>
      <c r="F490" s="1"/>
      <c r="G490" s="1"/>
      <c r="H490" s="1"/>
      <c r="I490" s="76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01" t="s">
        <v>907</v>
      </c>
      <c r="V490" s="91" t="s">
        <v>910</v>
      </c>
      <c r="W490" s="142">
        <v>4.0</v>
      </c>
      <c r="X490" s="142">
        <v>16.0</v>
      </c>
      <c r="Y490" s="142">
        <v>1900.0</v>
      </c>
      <c r="Z490" s="103">
        <v>0.125</v>
      </c>
      <c r="AA490" s="142" t="s">
        <v>300</v>
      </c>
      <c r="AB490" s="105">
        <v>110.95</v>
      </c>
      <c r="AC490" s="1"/>
      <c r="AD490" s="1"/>
      <c r="AE490" s="1"/>
      <c r="AF490" s="1"/>
      <c r="AG490" s="1"/>
    </row>
    <row r="491">
      <c r="A491" s="1"/>
      <c r="B491" s="1"/>
      <c r="C491" s="75"/>
      <c r="D491" s="1"/>
      <c r="E491" s="1"/>
      <c r="F491" s="1"/>
      <c r="G491" s="1"/>
      <c r="H491" s="1"/>
      <c r="I491" s="76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01" t="s">
        <v>907</v>
      </c>
      <c r="V491" s="91" t="s">
        <v>911</v>
      </c>
      <c r="W491" s="142">
        <v>8.0</v>
      </c>
      <c r="X491" s="142">
        <v>32.0</v>
      </c>
      <c r="Y491" s="142">
        <v>1900.0</v>
      </c>
      <c r="Z491" s="103">
        <v>0.25</v>
      </c>
      <c r="AA491" s="142" t="s">
        <v>441</v>
      </c>
      <c r="AB491" s="105">
        <v>221.9</v>
      </c>
      <c r="AC491" s="1"/>
      <c r="AD491" s="1"/>
      <c r="AE491" s="1"/>
      <c r="AF491" s="1"/>
      <c r="AG491" s="1"/>
    </row>
    <row r="492">
      <c r="A492" s="1"/>
      <c r="B492" s="1"/>
      <c r="C492" s="75"/>
      <c r="D492" s="1"/>
      <c r="E492" s="1"/>
      <c r="F492" s="1"/>
      <c r="G492" s="1"/>
      <c r="H492" s="1"/>
      <c r="I492" s="76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01" t="s">
        <v>912</v>
      </c>
      <c r="V492" s="91" t="s">
        <v>913</v>
      </c>
      <c r="W492" s="142">
        <v>16.0</v>
      </c>
      <c r="X492" s="142">
        <v>64.0</v>
      </c>
      <c r="Y492" s="142">
        <v>1900.0</v>
      </c>
      <c r="Z492" s="103">
        <v>0.5</v>
      </c>
      <c r="AA492" s="142" t="s">
        <v>441</v>
      </c>
      <c r="AB492" s="105">
        <v>443.79</v>
      </c>
      <c r="AC492" s="1"/>
      <c r="AD492" s="1"/>
      <c r="AE492" s="1"/>
      <c r="AF492" s="1"/>
      <c r="AG492" s="1"/>
    </row>
    <row r="493">
      <c r="A493" s="1"/>
      <c r="B493" s="1"/>
      <c r="C493" s="75"/>
      <c r="D493" s="1"/>
      <c r="E493" s="1"/>
      <c r="F493" s="1"/>
      <c r="G493" s="1"/>
      <c r="H493" s="1"/>
      <c r="I493" s="76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01" t="s">
        <v>907</v>
      </c>
      <c r="V493" s="91" t="s">
        <v>914</v>
      </c>
      <c r="W493" s="142">
        <v>32.0</v>
      </c>
      <c r="X493" s="142">
        <v>128.0</v>
      </c>
      <c r="Y493" s="142">
        <v>1900.0</v>
      </c>
      <c r="Z493" s="103">
        <v>1.0</v>
      </c>
      <c r="AA493" s="142" t="s">
        <v>444</v>
      </c>
      <c r="AB493" s="105">
        <v>887.58</v>
      </c>
      <c r="AC493" s="1"/>
      <c r="AD493" s="1"/>
      <c r="AE493" s="1"/>
      <c r="AF493" s="1"/>
      <c r="AG493" s="1"/>
    </row>
    <row r="494">
      <c r="A494" s="1"/>
      <c r="B494" s="1"/>
      <c r="C494" s="75"/>
      <c r="D494" s="1"/>
      <c r="E494" s="1"/>
      <c r="F494" s="1"/>
      <c r="G494" s="1"/>
      <c r="H494" s="1"/>
      <c r="I494" s="76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01" t="s">
        <v>907</v>
      </c>
      <c r="V494" s="91" t="s">
        <v>915</v>
      </c>
      <c r="W494" s="142">
        <v>48.0</v>
      </c>
      <c r="X494" s="142">
        <v>192.0</v>
      </c>
      <c r="Y494" s="142">
        <v>1900.0</v>
      </c>
      <c r="Z494" s="103">
        <f>2*1425/1900</f>
        <v>1.5</v>
      </c>
      <c r="AA494" s="142" t="s">
        <v>446</v>
      </c>
      <c r="AB494" s="105">
        <v>1331.38</v>
      </c>
      <c r="AC494" s="1"/>
      <c r="AD494" s="1"/>
      <c r="AE494" s="1"/>
      <c r="AF494" s="1"/>
      <c r="AG494" s="1"/>
    </row>
    <row r="495">
      <c r="A495" s="1"/>
      <c r="B495" s="1"/>
      <c r="C495" s="75"/>
      <c r="D495" s="1"/>
      <c r="E495" s="1"/>
      <c r="F495" s="1"/>
      <c r="G495" s="1"/>
      <c r="H495" s="1"/>
      <c r="I495" s="76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01" t="s">
        <v>907</v>
      </c>
      <c r="V495" s="91" t="s">
        <v>916</v>
      </c>
      <c r="W495" s="142">
        <v>64.0</v>
      </c>
      <c r="X495" s="142">
        <v>256.0</v>
      </c>
      <c r="Y495" s="142">
        <v>1900.0</v>
      </c>
      <c r="Z495" s="103">
        <v>2.0</v>
      </c>
      <c r="AA495" s="142" t="s">
        <v>448</v>
      </c>
      <c r="AB495" s="105">
        <v>1775.17</v>
      </c>
      <c r="AC495" s="1"/>
      <c r="AD495" s="1"/>
      <c r="AE495" s="1"/>
      <c r="AF495" s="1"/>
      <c r="AG495" s="1"/>
    </row>
    <row r="496">
      <c r="A496" s="1"/>
      <c r="B496" s="1"/>
      <c r="C496" s="75"/>
      <c r="D496" s="1"/>
      <c r="E496" s="1"/>
      <c r="F496" s="1"/>
      <c r="G496" s="1"/>
      <c r="H496" s="1"/>
      <c r="I496" s="76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01" t="s">
        <v>907</v>
      </c>
      <c r="V496" s="91" t="s">
        <v>917</v>
      </c>
      <c r="W496" s="142">
        <v>96.0</v>
      </c>
      <c r="X496" s="142">
        <v>384.0</v>
      </c>
      <c r="Y496" s="142">
        <v>1900.0</v>
      </c>
      <c r="Z496" s="103">
        <v>3.0</v>
      </c>
      <c r="AA496" s="142" t="s">
        <v>501</v>
      </c>
      <c r="AB496" s="105">
        <v>2662.75</v>
      </c>
      <c r="AC496" s="1"/>
      <c r="AD496" s="1"/>
      <c r="AE496" s="1"/>
      <c r="AF496" s="1"/>
      <c r="AG496" s="1"/>
    </row>
    <row r="497">
      <c r="A497" s="1"/>
      <c r="B497" s="1"/>
      <c r="C497" s="75"/>
      <c r="D497" s="1"/>
      <c r="E497" s="1"/>
      <c r="F497" s="1"/>
      <c r="G497" s="1"/>
      <c r="H497" s="1"/>
      <c r="I497" s="76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01" t="s">
        <v>907</v>
      </c>
      <c r="V497" s="91" t="s">
        <v>918</v>
      </c>
      <c r="W497" s="142">
        <v>192.0</v>
      </c>
      <c r="X497" s="142">
        <v>768.0</v>
      </c>
      <c r="Y497" s="142">
        <v>1900.0</v>
      </c>
      <c r="Z497" s="103">
        <v>6.0</v>
      </c>
      <c r="AA497" s="142" t="s">
        <v>294</v>
      </c>
      <c r="AB497" s="105">
        <v>5325.51</v>
      </c>
      <c r="AC497" s="1"/>
      <c r="AD497" s="1"/>
      <c r="AE497" s="1"/>
      <c r="AF497" s="1"/>
      <c r="AG497" s="1"/>
    </row>
    <row r="498">
      <c r="A498" s="1"/>
      <c r="B498" s="1"/>
      <c r="C498" s="75"/>
      <c r="D498" s="1"/>
      <c r="E498" s="1"/>
      <c r="F498" s="1"/>
      <c r="G498" s="1"/>
      <c r="H498" s="1"/>
      <c r="I498" s="76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01" t="s">
        <v>919</v>
      </c>
      <c r="V498" s="91" t="s">
        <v>920</v>
      </c>
      <c r="W498" s="142">
        <v>2.0</v>
      </c>
      <c r="X498" s="142">
        <v>15.25</v>
      </c>
      <c r="Y498" s="142">
        <v>320.0</v>
      </c>
      <c r="Z498" s="103">
        <v>0.125</v>
      </c>
      <c r="AA498" s="142" t="s">
        <v>136</v>
      </c>
      <c r="AB498" s="105">
        <v>76.65</v>
      </c>
      <c r="AC498" s="1"/>
      <c r="AD498" s="1"/>
      <c r="AE498" s="1"/>
      <c r="AF498" s="1"/>
      <c r="AG498" s="1"/>
    </row>
    <row r="499">
      <c r="A499" s="1"/>
      <c r="B499" s="1"/>
      <c r="C499" s="75"/>
      <c r="D499" s="1"/>
      <c r="E499" s="1"/>
      <c r="F499" s="1"/>
      <c r="G499" s="1"/>
      <c r="H499" s="1"/>
      <c r="I499" s="76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01" t="s">
        <v>919</v>
      </c>
      <c r="V499" s="91" t="s">
        <v>921</v>
      </c>
      <c r="W499" s="142">
        <v>4.0</v>
      </c>
      <c r="X499" s="142">
        <v>30.5</v>
      </c>
      <c r="Y499" s="142">
        <v>320.0</v>
      </c>
      <c r="Z499" s="103">
        <v>0.25</v>
      </c>
      <c r="AA499" s="142" t="s">
        <v>136</v>
      </c>
      <c r="AB499" s="105">
        <v>152.57</v>
      </c>
      <c r="AC499" s="1"/>
      <c r="AD499" s="1"/>
      <c r="AE499" s="1"/>
      <c r="AF499" s="1"/>
      <c r="AG499" s="1"/>
    </row>
    <row r="500">
      <c r="A500" s="1"/>
      <c r="B500" s="1"/>
      <c r="C500" s="75"/>
      <c r="D500" s="1"/>
      <c r="E500" s="1"/>
      <c r="F500" s="1"/>
      <c r="G500" s="1"/>
      <c r="H500" s="1"/>
      <c r="I500" s="76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01" t="s">
        <v>922</v>
      </c>
      <c r="V500" s="91" t="s">
        <v>923</v>
      </c>
      <c r="W500" s="142">
        <v>8.0</v>
      </c>
      <c r="X500" s="142">
        <v>61.0</v>
      </c>
      <c r="Y500" s="142">
        <v>320.0</v>
      </c>
      <c r="Z500" s="103">
        <v>0.5</v>
      </c>
      <c r="AA500" s="142" t="s">
        <v>147</v>
      </c>
      <c r="AB500" s="105">
        <v>305.14</v>
      </c>
      <c r="AC500" s="1"/>
      <c r="AD500" s="1"/>
      <c r="AE500" s="1"/>
      <c r="AF500" s="1"/>
      <c r="AG500" s="1"/>
    </row>
    <row r="501">
      <c r="A501" s="1"/>
      <c r="B501" s="1"/>
      <c r="C501" s="75"/>
      <c r="D501" s="1"/>
      <c r="E501" s="1"/>
      <c r="F501" s="1"/>
      <c r="G501" s="1"/>
      <c r="H501" s="1"/>
      <c r="I501" s="76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01" t="s">
        <v>919</v>
      </c>
      <c r="V501" s="91" t="s">
        <v>924</v>
      </c>
      <c r="W501" s="142">
        <v>16.0</v>
      </c>
      <c r="X501" s="142">
        <v>122.0</v>
      </c>
      <c r="Y501" s="142">
        <v>320.0</v>
      </c>
      <c r="Z501" s="103">
        <v>1.0</v>
      </c>
      <c r="AA501" s="142" t="s">
        <v>147</v>
      </c>
      <c r="AB501" s="105">
        <v>610.28</v>
      </c>
      <c r="AC501" s="1"/>
      <c r="AD501" s="1"/>
      <c r="AE501" s="1"/>
      <c r="AF501" s="1"/>
      <c r="AG501" s="1"/>
    </row>
    <row r="502">
      <c r="A502" s="1"/>
      <c r="B502" s="1"/>
      <c r="C502" s="75"/>
      <c r="D502" s="1"/>
      <c r="E502" s="1"/>
      <c r="F502" s="1"/>
      <c r="G502" s="1"/>
      <c r="H502" s="1"/>
      <c r="I502" s="76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01" t="s">
        <v>919</v>
      </c>
      <c r="V502" s="91" t="s">
        <v>925</v>
      </c>
      <c r="W502" s="142">
        <v>32.0</v>
      </c>
      <c r="X502" s="142">
        <v>244.0</v>
      </c>
      <c r="Y502" s="142">
        <v>320.0</v>
      </c>
      <c r="Z502" s="103">
        <v>2.0</v>
      </c>
      <c r="AA502" s="142" t="s">
        <v>154</v>
      </c>
      <c r="AB502" s="105">
        <v>1220.56</v>
      </c>
      <c r="AC502" s="1"/>
      <c r="AD502" s="1"/>
      <c r="AE502" s="1"/>
      <c r="AF502" s="1"/>
      <c r="AG502" s="1"/>
    </row>
    <row r="503">
      <c r="A503" s="1"/>
      <c r="B503" s="1"/>
      <c r="C503" s="75"/>
      <c r="D503" s="1"/>
      <c r="E503" s="1"/>
      <c r="F503" s="1"/>
      <c r="G503" s="1"/>
      <c r="H503" s="1"/>
      <c r="I503" s="76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01" t="s">
        <v>926</v>
      </c>
      <c r="V503" s="91" t="s">
        <v>927</v>
      </c>
      <c r="W503" s="142">
        <v>2.0</v>
      </c>
      <c r="X503" s="142">
        <v>15.25</v>
      </c>
      <c r="Y503" s="142">
        <v>0.0</v>
      </c>
      <c r="Z503" s="103">
        <v>0.0</v>
      </c>
      <c r="AA503" s="142" t="s">
        <v>105</v>
      </c>
      <c r="AB503" s="105">
        <v>61.32</v>
      </c>
      <c r="AC503" s="1"/>
      <c r="AD503" s="1"/>
      <c r="AE503" s="1"/>
      <c r="AF503" s="1"/>
      <c r="AG503" s="1"/>
    </row>
    <row r="504">
      <c r="A504" s="1"/>
      <c r="B504" s="1"/>
      <c r="C504" s="75"/>
      <c r="D504" s="1"/>
      <c r="E504" s="1"/>
      <c r="F504" s="1"/>
      <c r="G504" s="1"/>
      <c r="H504" s="1"/>
      <c r="I504" s="76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01" t="s">
        <v>928</v>
      </c>
      <c r="V504" s="91" t="s">
        <v>929</v>
      </c>
      <c r="W504" s="142">
        <v>4.0</v>
      </c>
      <c r="X504" s="142">
        <v>30.5</v>
      </c>
      <c r="Y504" s="142">
        <v>0.0</v>
      </c>
      <c r="Z504" s="103">
        <v>0.0</v>
      </c>
      <c r="AA504" s="142" t="s">
        <v>105</v>
      </c>
      <c r="AB504" s="105">
        <v>122.64</v>
      </c>
      <c r="AC504" s="1"/>
      <c r="AD504" s="1"/>
      <c r="AE504" s="1"/>
      <c r="AF504" s="1"/>
      <c r="AG504" s="1"/>
    </row>
    <row r="505">
      <c r="A505" s="1"/>
      <c r="B505" s="1"/>
      <c r="C505" s="75"/>
      <c r="D505" s="1"/>
      <c r="E505" s="1"/>
      <c r="F505" s="1"/>
      <c r="G505" s="1"/>
      <c r="H505" s="1"/>
      <c r="I505" s="76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01" t="s">
        <v>928</v>
      </c>
      <c r="V505" s="91" t="s">
        <v>930</v>
      </c>
      <c r="W505" s="142">
        <v>8.0</v>
      </c>
      <c r="X505" s="142">
        <v>61.0</v>
      </c>
      <c r="Y505" s="142">
        <v>0.0</v>
      </c>
      <c r="Z505" s="103">
        <v>0.0</v>
      </c>
      <c r="AA505" s="142" t="s">
        <v>105</v>
      </c>
      <c r="AB505" s="105">
        <v>245.28</v>
      </c>
      <c r="AC505" s="1"/>
      <c r="AD505" s="1"/>
      <c r="AE505" s="1"/>
      <c r="AF505" s="1"/>
      <c r="AG505" s="1"/>
    </row>
    <row r="506">
      <c r="A506" s="1"/>
      <c r="B506" s="1"/>
      <c r="C506" s="75"/>
      <c r="D506" s="1"/>
      <c r="E506" s="1"/>
      <c r="F506" s="1"/>
      <c r="G506" s="1"/>
      <c r="H506" s="1"/>
      <c r="I506" s="76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01" t="s">
        <v>928</v>
      </c>
      <c r="V506" s="91" t="s">
        <v>931</v>
      </c>
      <c r="W506" s="142">
        <v>16.0</v>
      </c>
      <c r="X506" s="142">
        <v>122.0</v>
      </c>
      <c r="Y506" s="142">
        <v>0.0</v>
      </c>
      <c r="Z506" s="103">
        <v>0.0</v>
      </c>
      <c r="AA506" s="142" t="s">
        <v>105</v>
      </c>
      <c r="AB506" s="105">
        <v>490.56</v>
      </c>
      <c r="AC506" s="1"/>
      <c r="AD506" s="1"/>
      <c r="AE506" s="1"/>
      <c r="AF506" s="1"/>
      <c r="AG506" s="1"/>
    </row>
    <row r="507">
      <c r="A507" s="1"/>
      <c r="B507" s="1"/>
      <c r="C507" s="75"/>
      <c r="D507" s="1"/>
      <c r="E507" s="1"/>
      <c r="F507" s="1"/>
      <c r="G507" s="1"/>
      <c r="H507" s="1"/>
      <c r="I507" s="76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01" t="s">
        <v>928</v>
      </c>
      <c r="V507" s="91" t="s">
        <v>932</v>
      </c>
      <c r="W507" s="142">
        <v>32.0</v>
      </c>
      <c r="X507" s="142">
        <v>244.0</v>
      </c>
      <c r="Y507" s="142">
        <v>0.0</v>
      </c>
      <c r="Z507" s="103">
        <v>0.0</v>
      </c>
      <c r="AA507" s="142" t="s">
        <v>154</v>
      </c>
      <c r="AB507" s="105">
        <v>981.12</v>
      </c>
      <c r="AC507" s="1"/>
      <c r="AD507" s="1"/>
      <c r="AE507" s="1"/>
      <c r="AF507" s="1"/>
      <c r="AG507" s="1"/>
    </row>
    <row r="508">
      <c r="A508" s="1"/>
      <c r="B508" s="1"/>
      <c r="C508" s="75"/>
      <c r="D508" s="1"/>
      <c r="E508" s="1"/>
      <c r="F508" s="1"/>
      <c r="G508" s="1"/>
      <c r="H508" s="1"/>
      <c r="I508" s="76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01" t="s">
        <v>928</v>
      </c>
      <c r="V508" s="91" t="s">
        <v>933</v>
      </c>
      <c r="W508" s="142">
        <v>64.0</v>
      </c>
      <c r="X508" s="142">
        <v>488.0</v>
      </c>
      <c r="Y508" s="142">
        <v>0.0</v>
      </c>
      <c r="Z508" s="103">
        <v>0.0</v>
      </c>
      <c r="AA508" s="142" t="s">
        <v>208</v>
      </c>
      <c r="AB508" s="105">
        <v>1962.24</v>
      </c>
      <c r="AC508" s="1"/>
      <c r="AD508" s="1"/>
      <c r="AE508" s="1"/>
      <c r="AF508" s="1"/>
      <c r="AG508" s="1"/>
    </row>
    <row r="509">
      <c r="A509" s="1"/>
      <c r="B509" s="1"/>
      <c r="C509" s="75"/>
      <c r="D509" s="1"/>
      <c r="E509" s="1"/>
      <c r="F509" s="1"/>
      <c r="G509" s="1"/>
      <c r="H509" s="1"/>
      <c r="I509" s="76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01" t="s">
        <v>934</v>
      </c>
      <c r="V509" s="91" t="s">
        <v>935</v>
      </c>
      <c r="W509" s="142">
        <v>2.0</v>
      </c>
      <c r="X509" s="142">
        <v>16.0</v>
      </c>
      <c r="Y509" s="142">
        <v>0.0</v>
      </c>
      <c r="Z509" s="103">
        <v>0.0</v>
      </c>
      <c r="AA509" s="142" t="s">
        <v>105</v>
      </c>
      <c r="AB509" s="105">
        <v>57.67</v>
      </c>
      <c r="AC509" s="1"/>
      <c r="AD509" s="1"/>
      <c r="AE509" s="1"/>
      <c r="AF509" s="1"/>
      <c r="AG509" s="1"/>
    </row>
    <row r="510">
      <c r="A510" s="1"/>
      <c r="B510" s="1"/>
      <c r="C510" s="75"/>
      <c r="D510" s="1"/>
      <c r="E510" s="1"/>
      <c r="F510" s="1"/>
      <c r="G510" s="1"/>
      <c r="H510" s="1"/>
      <c r="I510" s="76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01" t="s">
        <v>936</v>
      </c>
      <c r="V510" s="91" t="s">
        <v>937</v>
      </c>
      <c r="W510" s="142">
        <v>4.0</v>
      </c>
      <c r="X510" s="142">
        <v>32.0</v>
      </c>
      <c r="Y510" s="142">
        <v>0.0</v>
      </c>
      <c r="Z510" s="103">
        <v>0.0</v>
      </c>
      <c r="AA510" s="142" t="s">
        <v>105</v>
      </c>
      <c r="AB510" s="105">
        <v>116.07</v>
      </c>
      <c r="AC510" s="1"/>
      <c r="AD510" s="1"/>
      <c r="AE510" s="1"/>
      <c r="AF510" s="1"/>
      <c r="AG510" s="1"/>
    </row>
    <row r="511">
      <c r="A511" s="1"/>
      <c r="B511" s="1"/>
      <c r="C511" s="75"/>
      <c r="D511" s="1"/>
      <c r="E511" s="1"/>
      <c r="F511" s="1"/>
      <c r="G511" s="1"/>
      <c r="H511" s="1"/>
      <c r="I511" s="76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01" t="s">
        <v>936</v>
      </c>
      <c r="V511" s="91" t="s">
        <v>938</v>
      </c>
      <c r="W511" s="142">
        <v>8.0</v>
      </c>
      <c r="X511" s="142">
        <v>64.0</v>
      </c>
      <c r="Y511" s="142">
        <v>0.0</v>
      </c>
      <c r="Z511" s="103">
        <v>0.0</v>
      </c>
      <c r="AA511" s="142" t="s">
        <v>105</v>
      </c>
      <c r="AB511" s="105">
        <v>232.14</v>
      </c>
      <c r="AC511" s="1"/>
      <c r="AD511" s="1"/>
      <c r="AE511" s="1"/>
      <c r="AF511" s="1"/>
      <c r="AG511" s="1"/>
    </row>
    <row r="512">
      <c r="A512" s="1"/>
      <c r="B512" s="1"/>
      <c r="C512" s="75"/>
      <c r="D512" s="1"/>
      <c r="E512" s="1"/>
      <c r="F512" s="1"/>
      <c r="G512" s="1"/>
      <c r="H512" s="1"/>
      <c r="I512" s="76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01" t="s">
        <v>936</v>
      </c>
      <c r="V512" s="91" t="s">
        <v>939</v>
      </c>
      <c r="W512" s="142">
        <v>16.0</v>
      </c>
      <c r="X512" s="142">
        <v>128.0</v>
      </c>
      <c r="Y512" s="142">
        <v>0.0</v>
      </c>
      <c r="Z512" s="103">
        <v>0.0</v>
      </c>
      <c r="AA512" s="142" t="s">
        <v>105</v>
      </c>
      <c r="AB512" s="105">
        <v>463.55</v>
      </c>
      <c r="AC512" s="1"/>
      <c r="AD512" s="1"/>
      <c r="AE512" s="1"/>
      <c r="AF512" s="1"/>
      <c r="AG512" s="1"/>
    </row>
    <row r="513">
      <c r="A513" s="1"/>
      <c r="B513" s="1"/>
      <c r="C513" s="75"/>
      <c r="D513" s="1"/>
      <c r="E513" s="1"/>
      <c r="F513" s="1"/>
      <c r="G513" s="1"/>
      <c r="H513" s="1"/>
      <c r="I513" s="76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01" t="s">
        <v>936</v>
      </c>
      <c r="V513" s="91" t="s">
        <v>940</v>
      </c>
      <c r="W513" s="142">
        <v>32.0</v>
      </c>
      <c r="X513" s="142">
        <v>256.0</v>
      </c>
      <c r="Y513" s="142">
        <v>0.0</v>
      </c>
      <c r="Z513" s="103">
        <v>0.0</v>
      </c>
      <c r="AA513" s="142" t="s">
        <v>154</v>
      </c>
      <c r="AB513" s="105">
        <v>927.1</v>
      </c>
      <c r="AC513" s="1"/>
      <c r="AD513" s="1"/>
      <c r="AE513" s="1"/>
      <c r="AF513" s="1"/>
      <c r="AG513" s="1"/>
    </row>
    <row r="514">
      <c r="A514" s="1"/>
      <c r="B514" s="1"/>
      <c r="C514" s="75"/>
      <c r="D514" s="1"/>
      <c r="E514" s="1"/>
      <c r="F514" s="1"/>
      <c r="G514" s="1"/>
      <c r="H514" s="1"/>
      <c r="I514" s="76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01" t="s">
        <v>936</v>
      </c>
      <c r="V514" s="91" t="s">
        <v>941</v>
      </c>
      <c r="W514" s="142">
        <v>48.0</v>
      </c>
      <c r="X514" s="142">
        <v>384.0</v>
      </c>
      <c r="Y514" s="142">
        <v>0.0</v>
      </c>
      <c r="Z514" s="103">
        <v>0.0</v>
      </c>
      <c r="AA514" s="142" t="s">
        <v>198</v>
      </c>
      <c r="AB514" s="105">
        <v>1390.65</v>
      </c>
      <c r="AC514" s="1"/>
      <c r="AD514" s="1"/>
      <c r="AE514" s="1"/>
      <c r="AF514" s="1"/>
      <c r="AG514" s="1"/>
    </row>
    <row r="515">
      <c r="A515" s="1"/>
      <c r="B515" s="1"/>
      <c r="C515" s="75"/>
      <c r="D515" s="1"/>
      <c r="E515" s="1"/>
      <c r="F515" s="1"/>
      <c r="G515" s="1"/>
      <c r="H515" s="1"/>
      <c r="I515" s="76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01" t="s">
        <v>936</v>
      </c>
      <c r="V515" s="91" t="s">
        <v>942</v>
      </c>
      <c r="W515" s="142">
        <v>64.0</v>
      </c>
      <c r="X515" s="142">
        <v>512.0</v>
      </c>
      <c r="Y515" s="142">
        <v>0.0</v>
      </c>
      <c r="Z515" s="103">
        <v>0.0</v>
      </c>
      <c r="AA515" s="142" t="s">
        <v>236</v>
      </c>
      <c r="AB515" s="105">
        <v>1854.2</v>
      </c>
      <c r="AC515" s="1"/>
      <c r="AD515" s="1"/>
      <c r="AE515" s="1"/>
      <c r="AF515" s="1"/>
      <c r="AG515" s="1"/>
    </row>
    <row r="516">
      <c r="A516" s="1"/>
      <c r="B516" s="1"/>
      <c r="C516" s="75"/>
      <c r="D516" s="1"/>
      <c r="E516" s="1"/>
      <c r="F516" s="1"/>
      <c r="G516" s="1"/>
      <c r="H516" s="1"/>
      <c r="I516" s="76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01" t="s">
        <v>936</v>
      </c>
      <c r="V516" s="91" t="s">
        <v>943</v>
      </c>
      <c r="W516" s="142">
        <v>96.0</v>
      </c>
      <c r="X516" s="142">
        <v>768.0</v>
      </c>
      <c r="Y516" s="142">
        <v>0.0</v>
      </c>
      <c r="Z516" s="103">
        <v>0.0</v>
      </c>
      <c r="AA516" s="142" t="s">
        <v>208</v>
      </c>
      <c r="AB516" s="105">
        <v>2781.3</v>
      </c>
      <c r="AC516" s="1"/>
      <c r="AD516" s="1"/>
      <c r="AE516" s="1"/>
      <c r="AF516" s="1"/>
      <c r="AG516" s="1"/>
    </row>
    <row r="517">
      <c r="A517" s="1"/>
      <c r="B517" s="1"/>
      <c r="C517" s="75"/>
      <c r="D517" s="1"/>
      <c r="E517" s="1"/>
      <c r="F517" s="1"/>
      <c r="G517" s="1"/>
      <c r="H517" s="1"/>
      <c r="I517" s="76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01" t="s">
        <v>944</v>
      </c>
      <c r="V517" s="91" t="s">
        <v>945</v>
      </c>
      <c r="W517" s="142">
        <v>2.0</v>
      </c>
      <c r="X517" s="142">
        <v>16.0</v>
      </c>
      <c r="Y517" s="142">
        <v>0.0</v>
      </c>
      <c r="Z517" s="103">
        <v>0.0</v>
      </c>
      <c r="AA517" s="142" t="s">
        <v>105</v>
      </c>
      <c r="AB517" s="105">
        <v>51.83</v>
      </c>
      <c r="AC517" s="1"/>
      <c r="AD517" s="1"/>
      <c r="AE517" s="1"/>
      <c r="AF517" s="1"/>
      <c r="AG517" s="1"/>
    </row>
    <row r="518">
      <c r="A518" s="1"/>
      <c r="B518" s="1"/>
      <c r="C518" s="75"/>
      <c r="D518" s="1"/>
      <c r="E518" s="1"/>
      <c r="F518" s="1"/>
      <c r="G518" s="1"/>
      <c r="H518" s="1"/>
      <c r="I518" s="76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01" t="s">
        <v>946</v>
      </c>
      <c r="V518" s="91" t="s">
        <v>947</v>
      </c>
      <c r="W518" s="142">
        <v>4.0</v>
      </c>
      <c r="X518" s="142">
        <v>32.0</v>
      </c>
      <c r="Y518" s="142">
        <v>0.0</v>
      </c>
      <c r="Z518" s="103">
        <v>0.0</v>
      </c>
      <c r="AA518" s="142" t="s">
        <v>105</v>
      </c>
      <c r="AB518" s="105">
        <v>103.66</v>
      </c>
      <c r="AC518" s="1"/>
      <c r="AD518" s="1"/>
      <c r="AE518" s="1"/>
      <c r="AF518" s="1"/>
      <c r="AG518" s="1"/>
    </row>
    <row r="519">
      <c r="A519" s="1"/>
      <c r="B519" s="1"/>
      <c r="C519" s="75"/>
      <c r="D519" s="1"/>
      <c r="E519" s="1"/>
      <c r="F519" s="1"/>
      <c r="G519" s="1"/>
      <c r="H519" s="1"/>
      <c r="I519" s="76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01" t="s">
        <v>946</v>
      </c>
      <c r="V519" s="91" t="s">
        <v>948</v>
      </c>
      <c r="W519" s="142">
        <v>8.0</v>
      </c>
      <c r="X519" s="142">
        <v>64.0</v>
      </c>
      <c r="Y519" s="142">
        <v>0.0</v>
      </c>
      <c r="Z519" s="103">
        <v>0.0</v>
      </c>
      <c r="AA519" s="142" t="s">
        <v>105</v>
      </c>
      <c r="AB519" s="105">
        <v>208.05</v>
      </c>
      <c r="AC519" s="1"/>
      <c r="AD519" s="1"/>
      <c r="AE519" s="1"/>
      <c r="AF519" s="1"/>
      <c r="AG519" s="1"/>
    </row>
    <row r="520">
      <c r="A520" s="1"/>
      <c r="B520" s="1"/>
      <c r="C520" s="75"/>
      <c r="D520" s="1"/>
      <c r="E520" s="1"/>
      <c r="F520" s="1"/>
      <c r="G520" s="1"/>
      <c r="H520" s="1"/>
      <c r="I520" s="76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01" t="s">
        <v>946</v>
      </c>
      <c r="V520" s="91" t="s">
        <v>949</v>
      </c>
      <c r="W520" s="142">
        <v>16.0</v>
      </c>
      <c r="X520" s="142">
        <v>128.0</v>
      </c>
      <c r="Y520" s="142">
        <v>0.0</v>
      </c>
      <c r="Z520" s="103">
        <v>0.0</v>
      </c>
      <c r="AA520" s="142" t="s">
        <v>105</v>
      </c>
      <c r="AB520" s="105">
        <v>416.1</v>
      </c>
      <c r="AC520" s="1"/>
      <c r="AD520" s="1"/>
      <c r="AE520" s="1"/>
      <c r="AF520" s="1"/>
      <c r="AG520" s="1"/>
    </row>
    <row r="521">
      <c r="A521" s="1"/>
      <c r="B521" s="1"/>
      <c r="C521" s="75"/>
      <c r="D521" s="1"/>
      <c r="E521" s="1"/>
      <c r="F521" s="1"/>
      <c r="G521" s="1"/>
      <c r="H521" s="1"/>
      <c r="I521" s="76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01" t="s">
        <v>946</v>
      </c>
      <c r="V521" s="91" t="s">
        <v>950</v>
      </c>
      <c r="W521" s="142">
        <v>32.0</v>
      </c>
      <c r="X521" s="142">
        <v>256.0</v>
      </c>
      <c r="Y521" s="142">
        <v>0.0</v>
      </c>
      <c r="Z521" s="103">
        <v>0.0</v>
      </c>
      <c r="AA521" s="142" t="s">
        <v>105</v>
      </c>
      <c r="AB521" s="105">
        <v>831.47</v>
      </c>
      <c r="AC521" s="1"/>
      <c r="AD521" s="1"/>
      <c r="AE521" s="1"/>
      <c r="AF521" s="1"/>
      <c r="AG521" s="1"/>
    </row>
    <row r="522">
      <c r="A522" s="1"/>
      <c r="B522" s="1"/>
      <c r="C522" s="75"/>
      <c r="D522" s="1"/>
      <c r="E522" s="1"/>
      <c r="F522" s="1"/>
      <c r="G522" s="1"/>
      <c r="H522" s="1"/>
      <c r="I522" s="76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01" t="s">
        <v>946</v>
      </c>
      <c r="V522" s="91" t="s">
        <v>951</v>
      </c>
      <c r="W522" s="142">
        <v>48.0</v>
      </c>
      <c r="X522" s="142">
        <v>384.0</v>
      </c>
      <c r="Y522" s="142">
        <v>0.0</v>
      </c>
      <c r="Z522" s="103">
        <v>0.0</v>
      </c>
      <c r="AA522" s="142" t="s">
        <v>154</v>
      </c>
      <c r="AB522" s="105">
        <v>1247.57</v>
      </c>
      <c r="AC522" s="1"/>
      <c r="AD522" s="1"/>
      <c r="AE522" s="1"/>
      <c r="AF522" s="1"/>
      <c r="AG522" s="1"/>
    </row>
    <row r="523">
      <c r="A523" s="1"/>
      <c r="B523" s="1"/>
      <c r="C523" s="75"/>
      <c r="D523" s="1"/>
      <c r="E523" s="1"/>
      <c r="F523" s="1"/>
      <c r="G523" s="1"/>
      <c r="H523" s="1"/>
      <c r="I523" s="76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01" t="s">
        <v>946</v>
      </c>
      <c r="V523" s="91" t="s">
        <v>952</v>
      </c>
      <c r="W523" s="142">
        <v>64.0</v>
      </c>
      <c r="X523" s="142">
        <v>512.0</v>
      </c>
      <c r="Y523" s="142">
        <v>0.0</v>
      </c>
      <c r="Z523" s="103">
        <v>0.0</v>
      </c>
      <c r="AA523" s="142" t="s">
        <v>198</v>
      </c>
      <c r="AB523" s="105">
        <v>1662.94</v>
      </c>
      <c r="AC523" s="1"/>
      <c r="AD523" s="1"/>
      <c r="AE523" s="1"/>
      <c r="AF523" s="1"/>
      <c r="AG523" s="1"/>
    </row>
    <row r="524">
      <c r="A524" s="1"/>
      <c r="B524" s="1"/>
      <c r="C524" s="75"/>
      <c r="D524" s="1"/>
      <c r="E524" s="1"/>
      <c r="F524" s="1"/>
      <c r="G524" s="1"/>
      <c r="H524" s="1"/>
      <c r="I524" s="76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01" t="s">
        <v>946</v>
      </c>
      <c r="V524" s="91" t="s">
        <v>953</v>
      </c>
      <c r="W524" s="142">
        <v>96.0</v>
      </c>
      <c r="X524" s="142">
        <v>768.0</v>
      </c>
      <c r="Y524" s="142">
        <v>0.0</v>
      </c>
      <c r="Z524" s="103">
        <v>0.0</v>
      </c>
      <c r="AA524" s="142" t="s">
        <v>236</v>
      </c>
      <c r="AB524" s="105">
        <v>2494.41</v>
      </c>
      <c r="AC524" s="1"/>
      <c r="AD524" s="1"/>
      <c r="AE524" s="1"/>
      <c r="AF524" s="1"/>
      <c r="AG524" s="1"/>
    </row>
    <row r="525">
      <c r="A525" s="1"/>
      <c r="B525" s="1"/>
      <c r="C525" s="75"/>
      <c r="D525" s="1"/>
      <c r="E525" s="1"/>
      <c r="F525" s="1"/>
      <c r="G525" s="1"/>
      <c r="H525" s="1"/>
      <c r="I525" s="76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01" t="s">
        <v>954</v>
      </c>
      <c r="V525" s="91" t="s">
        <v>955</v>
      </c>
      <c r="W525" s="142">
        <v>2.0</v>
      </c>
      <c r="X525" s="142">
        <v>16.0</v>
      </c>
      <c r="Y525" s="142">
        <v>900.0</v>
      </c>
      <c r="Z525" s="103">
        <f t="shared" ref="Z525:Z528" si="13">Z526/2</f>
        <v>0.08333333333</v>
      </c>
      <c r="AA525" s="142" t="s">
        <v>105</v>
      </c>
      <c r="AB525" s="105">
        <v>60.59</v>
      </c>
      <c r="AC525" s="1"/>
      <c r="AD525" s="1"/>
      <c r="AE525" s="1"/>
      <c r="AF525" s="1"/>
      <c r="AG525" s="1"/>
    </row>
    <row r="526">
      <c r="A526" s="1"/>
      <c r="B526" s="1"/>
      <c r="C526" s="75"/>
      <c r="D526" s="1"/>
      <c r="E526" s="1"/>
      <c r="F526" s="1"/>
      <c r="G526" s="1"/>
      <c r="H526" s="1"/>
      <c r="I526" s="76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01" t="s">
        <v>954</v>
      </c>
      <c r="V526" s="91" t="s">
        <v>956</v>
      </c>
      <c r="W526" s="142">
        <v>4.0</v>
      </c>
      <c r="X526" s="142">
        <v>32.0</v>
      </c>
      <c r="Y526" s="142">
        <v>900.0</v>
      </c>
      <c r="Z526" s="103">
        <f t="shared" si="13"/>
        <v>0.1666666667</v>
      </c>
      <c r="AA526" s="142" t="s">
        <v>105</v>
      </c>
      <c r="AB526" s="105">
        <v>120.45</v>
      </c>
      <c r="AC526" s="1"/>
      <c r="AD526" s="1"/>
      <c r="AE526" s="1"/>
      <c r="AF526" s="1"/>
      <c r="AG526" s="1"/>
    </row>
    <row r="527">
      <c r="A527" s="1"/>
      <c r="B527" s="1"/>
      <c r="C527" s="75"/>
      <c r="D527" s="1"/>
      <c r="E527" s="1"/>
      <c r="F527" s="1"/>
      <c r="G527" s="1"/>
      <c r="H527" s="1"/>
      <c r="I527" s="76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01" t="s">
        <v>954</v>
      </c>
      <c r="V527" s="91" t="s">
        <v>957</v>
      </c>
      <c r="W527" s="142">
        <v>8.0</v>
      </c>
      <c r="X527" s="142">
        <v>64.0</v>
      </c>
      <c r="Y527" s="142">
        <v>900.0</v>
      </c>
      <c r="Z527" s="103">
        <f t="shared" si="13"/>
        <v>0.3333333333</v>
      </c>
      <c r="AA527" s="142" t="s">
        <v>105</v>
      </c>
      <c r="AB527" s="105">
        <v>240.9</v>
      </c>
      <c r="AC527" s="1"/>
      <c r="AD527" s="1"/>
      <c r="AE527" s="1"/>
      <c r="AF527" s="1"/>
      <c r="AG527" s="1"/>
    </row>
    <row r="528">
      <c r="A528" s="1"/>
      <c r="B528" s="1"/>
      <c r="C528" s="75"/>
      <c r="D528" s="1"/>
      <c r="E528" s="1"/>
      <c r="F528" s="1"/>
      <c r="G528" s="1"/>
      <c r="H528" s="1"/>
      <c r="I528" s="76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01" t="s">
        <v>958</v>
      </c>
      <c r="V528" s="91" t="s">
        <v>959</v>
      </c>
      <c r="W528" s="142">
        <v>16.0</v>
      </c>
      <c r="X528" s="142">
        <v>128.0</v>
      </c>
      <c r="Y528" s="142">
        <v>900.0</v>
      </c>
      <c r="Z528" s="103">
        <f t="shared" si="13"/>
        <v>0.6666666667</v>
      </c>
      <c r="AA528" s="142" t="s">
        <v>105</v>
      </c>
      <c r="AB528" s="105">
        <v>481.8</v>
      </c>
      <c r="AC528" s="1"/>
      <c r="AD528" s="1"/>
      <c r="AE528" s="1"/>
      <c r="AF528" s="1"/>
      <c r="AG528" s="1"/>
    </row>
    <row r="529">
      <c r="A529" s="1"/>
      <c r="B529" s="1"/>
      <c r="C529" s="75"/>
      <c r="D529" s="1"/>
      <c r="E529" s="1"/>
      <c r="F529" s="1"/>
      <c r="G529" s="1"/>
      <c r="H529" s="1"/>
      <c r="I529" s="76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01" t="s">
        <v>954</v>
      </c>
      <c r="V529" s="91" t="s">
        <v>960</v>
      </c>
      <c r="W529" s="142">
        <v>32.0</v>
      </c>
      <c r="X529" s="142">
        <v>256.0</v>
      </c>
      <c r="Y529" s="142">
        <v>900.0</v>
      </c>
      <c r="Z529" s="103">
        <f>Z531/2</f>
        <v>1.333333333</v>
      </c>
      <c r="AA529" s="142" t="s">
        <v>105</v>
      </c>
      <c r="AB529" s="105">
        <v>963.6</v>
      </c>
      <c r="AC529" s="1"/>
      <c r="AD529" s="1"/>
      <c r="AE529" s="1"/>
      <c r="AF529" s="1"/>
      <c r="AG529" s="1"/>
    </row>
    <row r="530">
      <c r="A530" s="1"/>
      <c r="B530" s="1"/>
      <c r="C530" s="75"/>
      <c r="D530" s="1"/>
      <c r="E530" s="1"/>
      <c r="F530" s="1"/>
      <c r="G530" s="1"/>
      <c r="H530" s="1"/>
      <c r="I530" s="76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01" t="s">
        <v>954</v>
      </c>
      <c r="V530" s="91" t="s">
        <v>961</v>
      </c>
      <c r="W530" s="142">
        <v>48.0</v>
      </c>
      <c r="X530" s="142">
        <v>384.0</v>
      </c>
      <c r="Y530" s="142">
        <v>900.0</v>
      </c>
      <c r="Z530" s="103">
        <v>2.0</v>
      </c>
      <c r="AA530" s="142" t="s">
        <v>154</v>
      </c>
      <c r="AB530" s="105">
        <v>1446.13</v>
      </c>
      <c r="AC530" s="1"/>
      <c r="AD530" s="1"/>
      <c r="AE530" s="1"/>
      <c r="AF530" s="1"/>
      <c r="AG530" s="1"/>
    </row>
    <row r="531">
      <c r="A531" s="1"/>
      <c r="B531" s="1"/>
      <c r="C531" s="75"/>
      <c r="D531" s="1"/>
      <c r="E531" s="1"/>
      <c r="F531" s="1"/>
      <c r="G531" s="1"/>
      <c r="H531" s="1"/>
      <c r="I531" s="76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01" t="s">
        <v>954</v>
      </c>
      <c r="V531" s="91" t="s">
        <v>962</v>
      </c>
      <c r="W531" s="142">
        <v>64.0</v>
      </c>
      <c r="X531" s="142">
        <v>512.0</v>
      </c>
      <c r="Y531" s="142">
        <v>900.0</v>
      </c>
      <c r="Z531" s="103">
        <f>8/3</f>
        <v>2.666666667</v>
      </c>
      <c r="AA531" s="142" t="s">
        <v>198</v>
      </c>
      <c r="AB531" s="105">
        <v>1927.93</v>
      </c>
      <c r="AC531" s="1"/>
      <c r="AD531" s="1"/>
      <c r="AE531" s="1"/>
      <c r="AF531" s="1"/>
      <c r="AG531" s="1"/>
    </row>
    <row r="532">
      <c r="A532" s="1"/>
      <c r="B532" s="1"/>
      <c r="C532" s="75"/>
      <c r="D532" s="1"/>
      <c r="E532" s="1"/>
      <c r="F532" s="1"/>
      <c r="G532" s="1"/>
      <c r="H532" s="1"/>
      <c r="I532" s="76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01" t="s">
        <v>954</v>
      </c>
      <c r="V532" s="91" t="s">
        <v>963</v>
      </c>
      <c r="W532" s="142">
        <v>96.0</v>
      </c>
      <c r="X532" s="142">
        <v>768.0</v>
      </c>
      <c r="Y532" s="142">
        <v>900.0</v>
      </c>
      <c r="Z532" s="103">
        <v>4.0</v>
      </c>
      <c r="AA532" s="142" t="s">
        <v>236</v>
      </c>
      <c r="AB532" s="105">
        <v>2891.53</v>
      </c>
      <c r="AC532" s="1"/>
      <c r="AD532" s="1"/>
      <c r="AE532" s="1"/>
      <c r="AF532" s="1"/>
      <c r="AG532" s="1"/>
    </row>
    <row r="533">
      <c r="A533" s="1"/>
      <c r="B533" s="1"/>
      <c r="C533" s="75"/>
      <c r="D533" s="1"/>
      <c r="E533" s="1"/>
      <c r="F533" s="1"/>
      <c r="G533" s="1"/>
      <c r="H533" s="1"/>
      <c r="I533" s="76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01" t="s">
        <v>964</v>
      </c>
      <c r="V533" s="91" t="s">
        <v>965</v>
      </c>
      <c r="W533" s="142">
        <v>2.0</v>
      </c>
      <c r="X533" s="142">
        <v>16.0</v>
      </c>
      <c r="Y533" s="142">
        <v>0.0</v>
      </c>
      <c r="Z533" s="103">
        <v>0.0</v>
      </c>
      <c r="AA533" s="142" t="s">
        <v>105</v>
      </c>
      <c r="AB533" s="105">
        <v>68.53</v>
      </c>
      <c r="AC533" s="1"/>
      <c r="AD533" s="1"/>
      <c r="AE533" s="1"/>
      <c r="AF533" s="1"/>
      <c r="AG533" s="1"/>
    </row>
    <row r="534">
      <c r="A534" s="1"/>
      <c r="B534" s="1"/>
      <c r="C534" s="75"/>
      <c r="D534" s="1"/>
      <c r="E534" s="1"/>
      <c r="F534" s="1"/>
      <c r="G534" s="1"/>
      <c r="H534" s="1"/>
      <c r="I534" s="76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01" t="s">
        <v>966</v>
      </c>
      <c r="V534" s="91" t="s">
        <v>967</v>
      </c>
      <c r="W534" s="142">
        <v>4.0</v>
      </c>
      <c r="X534" s="142">
        <v>32.0</v>
      </c>
      <c r="Y534" s="142">
        <v>0.0</v>
      </c>
      <c r="Z534" s="103">
        <v>0.0</v>
      </c>
      <c r="AA534" s="142" t="s">
        <v>105</v>
      </c>
      <c r="AB534" s="105">
        <v>137.05</v>
      </c>
      <c r="AC534" s="1"/>
      <c r="AD534" s="1"/>
      <c r="AE534" s="1"/>
      <c r="AF534" s="1"/>
      <c r="AG534" s="1"/>
    </row>
    <row r="535">
      <c r="A535" s="1"/>
      <c r="B535" s="1"/>
      <c r="C535" s="75"/>
      <c r="D535" s="1"/>
      <c r="E535" s="1"/>
      <c r="F535" s="1"/>
      <c r="G535" s="1"/>
      <c r="H535" s="1"/>
      <c r="I535" s="76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01" t="s">
        <v>966</v>
      </c>
      <c r="V535" s="91" t="s">
        <v>968</v>
      </c>
      <c r="W535" s="142">
        <v>8.0</v>
      </c>
      <c r="X535" s="142">
        <v>64.0</v>
      </c>
      <c r="Y535" s="142">
        <v>0.0</v>
      </c>
      <c r="Z535" s="103">
        <v>0.0</v>
      </c>
      <c r="AA535" s="142" t="s">
        <v>105</v>
      </c>
      <c r="AB535" s="105">
        <v>274.1</v>
      </c>
      <c r="AC535" s="1"/>
      <c r="AD535" s="1"/>
      <c r="AE535" s="1"/>
      <c r="AF535" s="1"/>
      <c r="AG535" s="1"/>
    </row>
    <row r="536">
      <c r="A536" s="1"/>
      <c r="B536" s="1"/>
      <c r="C536" s="75"/>
      <c r="D536" s="1"/>
      <c r="E536" s="1"/>
      <c r="F536" s="1"/>
      <c r="G536" s="1"/>
      <c r="H536" s="1"/>
      <c r="I536" s="76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01" t="s">
        <v>966</v>
      </c>
      <c r="V536" s="91" t="s">
        <v>969</v>
      </c>
      <c r="W536" s="142">
        <v>16.0</v>
      </c>
      <c r="X536" s="142">
        <v>128.0</v>
      </c>
      <c r="Y536" s="142">
        <v>0.0</v>
      </c>
      <c r="Z536" s="103">
        <v>0.0</v>
      </c>
      <c r="AA536" s="142" t="s">
        <v>105</v>
      </c>
      <c r="AB536" s="105">
        <v>548.2</v>
      </c>
      <c r="AC536" s="1"/>
      <c r="AD536" s="1"/>
      <c r="AE536" s="1"/>
      <c r="AF536" s="1"/>
      <c r="AG536" s="1"/>
    </row>
    <row r="537">
      <c r="A537" s="1"/>
      <c r="B537" s="1"/>
      <c r="C537" s="75"/>
      <c r="D537" s="1"/>
      <c r="E537" s="1"/>
      <c r="F537" s="1"/>
      <c r="G537" s="1"/>
      <c r="H537" s="1"/>
      <c r="I537" s="76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01" t="s">
        <v>966</v>
      </c>
      <c r="V537" s="91" t="s">
        <v>970</v>
      </c>
      <c r="W537" s="142">
        <v>32.0</v>
      </c>
      <c r="X537" s="142">
        <v>256.0</v>
      </c>
      <c r="Y537" s="142">
        <v>0.0</v>
      </c>
      <c r="Z537" s="103">
        <v>0.0</v>
      </c>
      <c r="AA537" s="142" t="s">
        <v>154</v>
      </c>
      <c r="AB537" s="105">
        <v>1096.4</v>
      </c>
      <c r="AC537" s="1"/>
      <c r="AD537" s="1"/>
      <c r="AE537" s="1"/>
      <c r="AF537" s="1"/>
      <c r="AG537" s="1"/>
    </row>
    <row r="538">
      <c r="A538" s="1"/>
      <c r="B538" s="1"/>
      <c r="C538" s="75"/>
      <c r="D538" s="1"/>
      <c r="E538" s="1"/>
      <c r="F538" s="1"/>
      <c r="G538" s="1"/>
      <c r="H538" s="1"/>
      <c r="I538" s="76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01" t="s">
        <v>966</v>
      </c>
      <c r="V538" s="91" t="s">
        <v>971</v>
      </c>
      <c r="W538" s="142">
        <v>48.0</v>
      </c>
      <c r="X538" s="142">
        <v>384.0</v>
      </c>
      <c r="Y538" s="142">
        <v>0.0</v>
      </c>
      <c r="Z538" s="103">
        <v>0.0</v>
      </c>
      <c r="AA538" s="142" t="s">
        <v>198</v>
      </c>
      <c r="AB538" s="105">
        <v>1644.6</v>
      </c>
      <c r="AC538" s="1"/>
      <c r="AD538" s="1"/>
      <c r="AE538" s="1"/>
      <c r="AF538" s="1"/>
      <c r="AG538" s="1"/>
    </row>
    <row r="539">
      <c r="A539" s="1"/>
      <c r="B539" s="1"/>
      <c r="C539" s="75"/>
      <c r="D539" s="1"/>
      <c r="E539" s="1"/>
      <c r="F539" s="1"/>
      <c r="G539" s="1"/>
      <c r="H539" s="1"/>
      <c r="I539" s="76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01" t="s">
        <v>966</v>
      </c>
      <c r="V539" s="91" t="s">
        <v>972</v>
      </c>
      <c r="W539" s="142">
        <v>64.0</v>
      </c>
      <c r="X539" s="142">
        <v>512.0</v>
      </c>
      <c r="Y539" s="142">
        <v>0.0</v>
      </c>
      <c r="Z539" s="103">
        <v>0.0</v>
      </c>
      <c r="AA539" s="142" t="s">
        <v>236</v>
      </c>
      <c r="AB539" s="105">
        <v>2192.8</v>
      </c>
      <c r="AC539" s="1"/>
      <c r="AD539" s="1"/>
      <c r="AE539" s="1"/>
      <c r="AF539" s="1"/>
      <c r="AG539" s="1"/>
    </row>
    <row r="540">
      <c r="A540" s="1"/>
      <c r="B540" s="1"/>
      <c r="C540" s="75"/>
      <c r="D540" s="1"/>
      <c r="E540" s="1"/>
      <c r="F540" s="1"/>
      <c r="G540" s="1"/>
      <c r="H540" s="1"/>
      <c r="I540" s="76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01" t="s">
        <v>966</v>
      </c>
      <c r="V540" s="91" t="s">
        <v>973</v>
      </c>
      <c r="W540" s="142">
        <v>96.0</v>
      </c>
      <c r="X540" s="142">
        <v>768.0</v>
      </c>
      <c r="Y540" s="142">
        <v>0.0</v>
      </c>
      <c r="Z540" s="103">
        <v>0.0</v>
      </c>
      <c r="AA540" s="142" t="s">
        <v>208</v>
      </c>
      <c r="AB540" s="105">
        <v>3289.2</v>
      </c>
      <c r="AC540" s="1"/>
      <c r="AD540" s="1"/>
      <c r="AE540" s="1"/>
      <c r="AF540" s="1"/>
      <c r="AG540" s="1"/>
    </row>
    <row r="541">
      <c r="A541" s="1"/>
      <c r="B541" s="1"/>
      <c r="C541" s="75"/>
      <c r="D541" s="1"/>
      <c r="E541" s="1"/>
      <c r="F541" s="1"/>
      <c r="G541" s="1"/>
      <c r="H541" s="1"/>
      <c r="I541" s="76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01" t="s">
        <v>974</v>
      </c>
      <c r="V541" s="91" t="s">
        <v>975</v>
      </c>
      <c r="W541" s="142">
        <v>2.0</v>
      </c>
      <c r="X541" s="142">
        <v>16.0</v>
      </c>
      <c r="Y541" s="142">
        <v>900.0</v>
      </c>
      <c r="Z541" s="103">
        <f t="shared" ref="Z541:Z544" si="14">Z542/2</f>
        <v>0.08333333333</v>
      </c>
      <c r="AA541" s="142" t="s">
        <v>105</v>
      </c>
      <c r="AB541" s="105">
        <v>66.43</v>
      </c>
      <c r="AC541" s="1"/>
      <c r="AD541" s="1"/>
      <c r="AE541" s="1"/>
      <c r="AF541" s="1"/>
      <c r="AG541" s="1"/>
    </row>
    <row r="542">
      <c r="A542" s="1"/>
      <c r="B542" s="1"/>
      <c r="C542" s="75"/>
      <c r="D542" s="1"/>
      <c r="E542" s="1"/>
      <c r="F542" s="1"/>
      <c r="G542" s="1"/>
      <c r="H542" s="1"/>
      <c r="I542" s="76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01" t="s">
        <v>974</v>
      </c>
      <c r="V542" s="91" t="s">
        <v>976</v>
      </c>
      <c r="W542" s="142">
        <v>4.0</v>
      </c>
      <c r="X542" s="142">
        <v>32.0</v>
      </c>
      <c r="Y542" s="142">
        <v>900.0</v>
      </c>
      <c r="Z542" s="103">
        <f t="shared" si="14"/>
        <v>0.1666666667</v>
      </c>
      <c r="AA542" s="142" t="s">
        <v>105</v>
      </c>
      <c r="AB542" s="105">
        <v>132.13</v>
      </c>
      <c r="AC542" s="1"/>
      <c r="AD542" s="1"/>
      <c r="AE542" s="1"/>
      <c r="AF542" s="1"/>
      <c r="AG542" s="1"/>
    </row>
    <row r="543">
      <c r="A543" s="1"/>
      <c r="B543" s="1"/>
      <c r="C543" s="75"/>
      <c r="D543" s="1"/>
      <c r="E543" s="1"/>
      <c r="F543" s="1"/>
      <c r="G543" s="1"/>
      <c r="H543" s="1"/>
      <c r="I543" s="76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01" t="s">
        <v>974</v>
      </c>
      <c r="V543" s="91" t="s">
        <v>977</v>
      </c>
      <c r="W543" s="142">
        <v>8.0</v>
      </c>
      <c r="X543" s="142">
        <v>64.0</v>
      </c>
      <c r="Y543" s="142">
        <v>900.0</v>
      </c>
      <c r="Z543" s="103">
        <f t="shared" si="14"/>
        <v>0.3333333333</v>
      </c>
      <c r="AA543" s="142" t="s">
        <v>105</v>
      </c>
      <c r="AB543" s="105">
        <v>264.99</v>
      </c>
      <c r="AC543" s="1"/>
      <c r="AD543" s="1"/>
      <c r="AE543" s="1"/>
      <c r="AF543" s="1"/>
      <c r="AG543" s="1"/>
    </row>
    <row r="544">
      <c r="A544" s="1"/>
      <c r="B544" s="1"/>
      <c r="C544" s="75"/>
      <c r="D544" s="1"/>
      <c r="E544" s="1"/>
      <c r="F544" s="1"/>
      <c r="G544" s="1"/>
      <c r="H544" s="1"/>
      <c r="I544" s="76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01" t="s">
        <v>978</v>
      </c>
      <c r="V544" s="91" t="s">
        <v>979</v>
      </c>
      <c r="W544" s="142">
        <v>16.0</v>
      </c>
      <c r="X544" s="142">
        <v>128.0</v>
      </c>
      <c r="Y544" s="142">
        <v>900.0</v>
      </c>
      <c r="Z544" s="103">
        <f t="shared" si="14"/>
        <v>0.6666666667</v>
      </c>
      <c r="AA544" s="142" t="s">
        <v>105</v>
      </c>
      <c r="AB544" s="105">
        <v>529.98</v>
      </c>
      <c r="AC544" s="1"/>
      <c r="AD544" s="1"/>
      <c r="AE544" s="1"/>
      <c r="AF544" s="1"/>
      <c r="AG544" s="1"/>
    </row>
    <row r="545">
      <c r="A545" s="1"/>
      <c r="B545" s="1"/>
      <c r="C545" s="75"/>
      <c r="D545" s="1"/>
      <c r="E545" s="1"/>
      <c r="F545" s="1"/>
      <c r="G545" s="1"/>
      <c r="H545" s="1"/>
      <c r="I545" s="76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01" t="s">
        <v>974</v>
      </c>
      <c r="V545" s="91" t="s">
        <v>980</v>
      </c>
      <c r="W545" s="142">
        <v>32.0</v>
      </c>
      <c r="X545" s="142">
        <v>256.0</v>
      </c>
      <c r="Y545" s="142">
        <v>900.0</v>
      </c>
      <c r="Z545" s="103">
        <f>Z547/2</f>
        <v>1.333333333</v>
      </c>
      <c r="AA545" s="142" t="s">
        <v>154</v>
      </c>
      <c r="AB545" s="105">
        <v>1059.96</v>
      </c>
      <c r="AC545" s="1"/>
      <c r="AD545" s="1"/>
      <c r="AE545" s="1"/>
      <c r="AF545" s="1"/>
      <c r="AG545" s="1"/>
    </row>
    <row r="546">
      <c r="A546" s="1"/>
      <c r="B546" s="1"/>
      <c r="C546" s="75"/>
      <c r="D546" s="1"/>
      <c r="E546" s="1"/>
      <c r="F546" s="1"/>
      <c r="G546" s="1"/>
      <c r="H546" s="1"/>
      <c r="I546" s="76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01" t="s">
        <v>974</v>
      </c>
      <c r="V546" s="91" t="s">
        <v>981</v>
      </c>
      <c r="W546" s="142">
        <v>48.0</v>
      </c>
      <c r="X546" s="142">
        <v>384.0</v>
      </c>
      <c r="Y546" s="142">
        <v>900.0</v>
      </c>
      <c r="Z546" s="103">
        <v>2.0</v>
      </c>
      <c r="AA546" s="142" t="s">
        <v>198</v>
      </c>
      <c r="AB546" s="105">
        <v>1589.21</v>
      </c>
      <c r="AC546" s="1"/>
      <c r="AD546" s="1"/>
      <c r="AE546" s="1"/>
      <c r="AF546" s="1"/>
      <c r="AG546" s="1"/>
    </row>
    <row r="547">
      <c r="A547" s="1"/>
      <c r="B547" s="1"/>
      <c r="C547" s="75"/>
      <c r="D547" s="1"/>
      <c r="E547" s="1"/>
      <c r="F547" s="1"/>
      <c r="G547" s="1"/>
      <c r="H547" s="1"/>
      <c r="I547" s="76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01" t="s">
        <v>974</v>
      </c>
      <c r="V547" s="91" t="s">
        <v>982</v>
      </c>
      <c r="W547" s="142">
        <v>64.0</v>
      </c>
      <c r="X547" s="142">
        <v>512.0</v>
      </c>
      <c r="Y547" s="142">
        <v>900.0</v>
      </c>
      <c r="Z547" s="103">
        <f>8/3</f>
        <v>2.666666667</v>
      </c>
      <c r="AA547" s="142" t="s">
        <v>236</v>
      </c>
      <c r="AB547" s="105">
        <v>2119.19</v>
      </c>
      <c r="AC547" s="1"/>
      <c r="AD547" s="1"/>
      <c r="AE547" s="1"/>
      <c r="AF547" s="1"/>
      <c r="AG547" s="1"/>
    </row>
    <row r="548">
      <c r="A548" s="1"/>
      <c r="B548" s="1"/>
      <c r="C548" s="75"/>
      <c r="D548" s="1"/>
      <c r="E548" s="1"/>
      <c r="F548" s="1"/>
      <c r="G548" s="1"/>
      <c r="H548" s="1"/>
      <c r="I548" s="76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01" t="s">
        <v>974</v>
      </c>
      <c r="V548" s="91" t="s">
        <v>983</v>
      </c>
      <c r="W548" s="142">
        <v>96.0</v>
      </c>
      <c r="X548" s="142">
        <v>768.0</v>
      </c>
      <c r="Y548" s="142">
        <v>900.0</v>
      </c>
      <c r="Z548" s="103">
        <v>4.0</v>
      </c>
      <c r="AA548" s="142" t="s">
        <v>208</v>
      </c>
      <c r="AB548" s="105">
        <v>3179.15</v>
      </c>
      <c r="AC548" s="1"/>
      <c r="AD548" s="1"/>
      <c r="AE548" s="1"/>
      <c r="AF548" s="1"/>
      <c r="AG548" s="1"/>
    </row>
    <row r="549">
      <c r="A549" s="1"/>
      <c r="B549" s="1"/>
      <c r="C549" s="75"/>
      <c r="D549" s="1"/>
      <c r="E549" s="1"/>
      <c r="F549" s="1"/>
      <c r="G549" s="1"/>
      <c r="H549" s="1"/>
      <c r="I549" s="76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01" t="s">
        <v>984</v>
      </c>
      <c r="V549" s="91" t="s">
        <v>985</v>
      </c>
      <c r="W549" s="142">
        <v>2.0</v>
      </c>
      <c r="X549" s="142">
        <v>16.0</v>
      </c>
      <c r="Y549" s="142">
        <v>900.0</v>
      </c>
      <c r="Z549" s="103">
        <f t="shared" ref="Z549:Z552" si="15">Z550/2</f>
        <v>0.08333333333</v>
      </c>
      <c r="AA549" s="142" t="s">
        <v>284</v>
      </c>
      <c r="AB549" s="105">
        <v>76.65</v>
      </c>
      <c r="AC549" s="1"/>
      <c r="AD549" s="1"/>
      <c r="AE549" s="1"/>
      <c r="AF549" s="1"/>
      <c r="AG549" s="1"/>
    </row>
    <row r="550">
      <c r="A550" s="1"/>
      <c r="B550" s="1"/>
      <c r="C550" s="75"/>
      <c r="D550" s="1"/>
      <c r="E550" s="1"/>
      <c r="F550" s="1"/>
      <c r="G550" s="1"/>
      <c r="H550" s="1"/>
      <c r="I550" s="76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01" t="s">
        <v>984</v>
      </c>
      <c r="V550" s="91" t="s">
        <v>986</v>
      </c>
      <c r="W550" s="142">
        <v>4.0</v>
      </c>
      <c r="X550" s="142">
        <v>32.0</v>
      </c>
      <c r="Y550" s="142">
        <v>900.0</v>
      </c>
      <c r="Z550" s="103">
        <f t="shared" si="15"/>
        <v>0.1666666667</v>
      </c>
      <c r="AA550" s="142" t="s">
        <v>284</v>
      </c>
      <c r="AB550" s="105">
        <v>153.3</v>
      </c>
      <c r="AC550" s="1"/>
      <c r="AD550" s="1"/>
      <c r="AE550" s="1"/>
      <c r="AF550" s="1"/>
      <c r="AG550" s="1"/>
    </row>
    <row r="551">
      <c r="A551" s="1"/>
      <c r="B551" s="1"/>
      <c r="C551" s="75"/>
      <c r="D551" s="1"/>
      <c r="E551" s="1"/>
      <c r="F551" s="1"/>
      <c r="G551" s="1"/>
      <c r="H551" s="1"/>
      <c r="I551" s="76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01" t="s">
        <v>984</v>
      </c>
      <c r="V551" s="91" t="s">
        <v>987</v>
      </c>
      <c r="W551" s="142">
        <v>8.0</v>
      </c>
      <c r="X551" s="142">
        <v>64.0</v>
      </c>
      <c r="Y551" s="142">
        <v>900.0</v>
      </c>
      <c r="Z551" s="103">
        <f t="shared" si="15"/>
        <v>0.3333333333</v>
      </c>
      <c r="AA551" s="142" t="s">
        <v>284</v>
      </c>
      <c r="AB551" s="105">
        <v>307.33</v>
      </c>
      <c r="AC551" s="1"/>
      <c r="AD551" s="1"/>
      <c r="AE551" s="1"/>
      <c r="AF551" s="1"/>
      <c r="AG551" s="1"/>
    </row>
    <row r="552">
      <c r="A552" s="1"/>
      <c r="B552" s="1"/>
      <c r="C552" s="75"/>
      <c r="D552" s="1"/>
      <c r="E552" s="1"/>
      <c r="F552" s="1"/>
      <c r="G552" s="1"/>
      <c r="H552" s="1"/>
      <c r="I552" s="76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01" t="s">
        <v>988</v>
      </c>
      <c r="V552" s="91" t="s">
        <v>989</v>
      </c>
      <c r="W552" s="142">
        <v>16.0</v>
      </c>
      <c r="X552" s="142">
        <v>128.0</v>
      </c>
      <c r="Y552" s="142">
        <v>900.0</v>
      </c>
      <c r="Z552" s="103">
        <f t="shared" si="15"/>
        <v>0.6666666667</v>
      </c>
      <c r="AA552" s="142" t="s">
        <v>284</v>
      </c>
      <c r="AB552" s="105">
        <v>614.66</v>
      </c>
      <c r="AC552" s="1"/>
      <c r="AD552" s="1"/>
      <c r="AE552" s="1"/>
      <c r="AF552" s="1"/>
      <c r="AG552" s="1"/>
    </row>
    <row r="553">
      <c r="A553" s="1"/>
      <c r="B553" s="1"/>
      <c r="C553" s="75"/>
      <c r="D553" s="1"/>
      <c r="E553" s="1"/>
      <c r="F553" s="1"/>
      <c r="G553" s="1"/>
      <c r="H553" s="1"/>
      <c r="I553" s="76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01" t="s">
        <v>984</v>
      </c>
      <c r="V553" s="91" t="s">
        <v>990</v>
      </c>
      <c r="W553" s="142">
        <v>32.0</v>
      </c>
      <c r="X553" s="142">
        <v>256.0</v>
      </c>
      <c r="Y553" s="142">
        <v>900.0</v>
      </c>
      <c r="Z553" s="103">
        <f>Z555/2</f>
        <v>1.333333333</v>
      </c>
      <c r="AA553" s="142" t="s">
        <v>208</v>
      </c>
      <c r="AB553" s="105">
        <v>1228.59</v>
      </c>
      <c r="AC553" s="1"/>
      <c r="AD553" s="1"/>
      <c r="AE553" s="1"/>
      <c r="AF553" s="1"/>
      <c r="AG553" s="1"/>
    </row>
    <row r="554">
      <c r="A554" s="1"/>
      <c r="B554" s="1"/>
      <c r="C554" s="75"/>
      <c r="D554" s="1"/>
      <c r="E554" s="1"/>
      <c r="F554" s="1"/>
      <c r="G554" s="1"/>
      <c r="H554" s="1"/>
      <c r="I554" s="76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01" t="s">
        <v>984</v>
      </c>
      <c r="V554" s="91" t="s">
        <v>991</v>
      </c>
      <c r="W554" s="142">
        <v>48.0</v>
      </c>
      <c r="X554" s="142">
        <v>384.0</v>
      </c>
      <c r="Y554" s="142">
        <v>900.0</v>
      </c>
      <c r="Z554" s="103">
        <v>2.0</v>
      </c>
      <c r="AA554" s="142" t="s">
        <v>294</v>
      </c>
      <c r="AB554" s="105">
        <v>1843.25</v>
      </c>
      <c r="AC554" s="1"/>
      <c r="AD554" s="1"/>
      <c r="AE554" s="1"/>
      <c r="AF554" s="1"/>
      <c r="AG554" s="1"/>
    </row>
    <row r="555">
      <c r="A555" s="1"/>
      <c r="B555" s="1"/>
      <c r="C555" s="75"/>
      <c r="D555" s="1"/>
      <c r="E555" s="1"/>
      <c r="F555" s="1"/>
      <c r="G555" s="1"/>
      <c r="H555" s="1"/>
      <c r="I555" s="76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01" t="s">
        <v>984</v>
      </c>
      <c r="V555" s="91" t="s">
        <v>992</v>
      </c>
      <c r="W555" s="142">
        <v>64.0</v>
      </c>
      <c r="X555" s="142">
        <v>512.0</v>
      </c>
      <c r="Y555" s="142">
        <v>900.0</v>
      </c>
      <c r="Z555" s="103">
        <f>8/3</f>
        <v>2.666666667</v>
      </c>
      <c r="AA555" s="142" t="s">
        <v>364</v>
      </c>
      <c r="AB555" s="105">
        <v>2457.91</v>
      </c>
      <c r="AC555" s="1"/>
      <c r="AD555" s="1"/>
      <c r="AE555" s="1"/>
      <c r="AF555" s="1"/>
      <c r="AG555" s="1"/>
    </row>
    <row r="556">
      <c r="A556" s="1"/>
      <c r="B556" s="1"/>
      <c r="C556" s="75"/>
      <c r="D556" s="1"/>
      <c r="E556" s="1"/>
      <c r="F556" s="1"/>
      <c r="G556" s="1"/>
      <c r="H556" s="1"/>
      <c r="I556" s="76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01" t="s">
        <v>984</v>
      </c>
      <c r="V556" s="91" t="s">
        <v>993</v>
      </c>
      <c r="W556" s="142">
        <v>96.0</v>
      </c>
      <c r="X556" s="142">
        <v>768.0</v>
      </c>
      <c r="Y556" s="142">
        <v>900.0</v>
      </c>
      <c r="Z556" s="103">
        <v>4.0</v>
      </c>
      <c r="AA556" s="142" t="s">
        <v>296</v>
      </c>
      <c r="AB556" s="105">
        <v>3686.5</v>
      </c>
      <c r="AC556" s="1"/>
      <c r="AD556" s="1"/>
      <c r="AE556" s="1"/>
      <c r="AF556" s="1"/>
      <c r="AG556" s="1"/>
    </row>
    <row r="557">
      <c r="A557" s="1"/>
      <c r="B557" s="1"/>
      <c r="C557" s="75"/>
      <c r="D557" s="1"/>
      <c r="E557" s="1"/>
      <c r="F557" s="1"/>
      <c r="G557" s="1"/>
      <c r="H557" s="1"/>
      <c r="I557" s="76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01" t="s">
        <v>994</v>
      </c>
      <c r="V557" s="91" t="s">
        <v>995</v>
      </c>
      <c r="W557" s="142">
        <v>2.0</v>
      </c>
      <c r="X557" s="142">
        <v>16.0</v>
      </c>
      <c r="Y557" s="142">
        <v>0.0</v>
      </c>
      <c r="Z557" s="103">
        <v>0.0</v>
      </c>
      <c r="AA557" s="142" t="s">
        <v>284</v>
      </c>
      <c r="AB557" s="105">
        <v>68.62</v>
      </c>
      <c r="AC557" s="1"/>
      <c r="AD557" s="1"/>
      <c r="AE557" s="1"/>
      <c r="AF557" s="1"/>
      <c r="AG557" s="1"/>
    </row>
    <row r="558">
      <c r="A558" s="1"/>
      <c r="B558" s="1"/>
      <c r="C558" s="75"/>
      <c r="D558" s="1"/>
      <c r="E558" s="1"/>
      <c r="F558" s="1"/>
      <c r="G558" s="1"/>
      <c r="H558" s="1"/>
      <c r="I558" s="76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01" t="s">
        <v>996</v>
      </c>
      <c r="V558" s="91" t="s">
        <v>997</v>
      </c>
      <c r="W558" s="142">
        <v>4.0</v>
      </c>
      <c r="X558" s="142">
        <v>32.0</v>
      </c>
      <c r="Y558" s="142">
        <v>0.0</v>
      </c>
      <c r="Z558" s="103">
        <v>0.0</v>
      </c>
      <c r="AA558" s="142" t="s">
        <v>284</v>
      </c>
      <c r="AB558" s="105">
        <v>137.24</v>
      </c>
      <c r="AC558" s="1"/>
      <c r="AD558" s="1"/>
      <c r="AE558" s="1"/>
      <c r="AF558" s="1"/>
      <c r="AG558" s="1"/>
    </row>
    <row r="559">
      <c r="A559" s="1"/>
      <c r="B559" s="1"/>
      <c r="C559" s="75"/>
      <c r="D559" s="1"/>
      <c r="E559" s="1"/>
      <c r="F559" s="1"/>
      <c r="G559" s="1"/>
      <c r="H559" s="1"/>
      <c r="I559" s="76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01" t="s">
        <v>996</v>
      </c>
      <c r="V559" s="91" t="s">
        <v>998</v>
      </c>
      <c r="W559" s="142">
        <v>8.0</v>
      </c>
      <c r="X559" s="142">
        <v>64.0</v>
      </c>
      <c r="Y559" s="142">
        <v>0.0</v>
      </c>
      <c r="Z559" s="103">
        <v>0.0</v>
      </c>
      <c r="AA559" s="142" t="s">
        <v>284</v>
      </c>
      <c r="AB559" s="105">
        <v>273.75</v>
      </c>
      <c r="AC559" s="1"/>
      <c r="AD559" s="1"/>
      <c r="AE559" s="1"/>
      <c r="AF559" s="1"/>
      <c r="AG559" s="1"/>
    </row>
    <row r="560">
      <c r="A560" s="1"/>
      <c r="B560" s="1"/>
      <c r="C560" s="75"/>
      <c r="D560" s="1"/>
      <c r="E560" s="1"/>
      <c r="F560" s="1"/>
      <c r="G560" s="1"/>
      <c r="H560" s="1"/>
      <c r="I560" s="76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01" t="s">
        <v>996</v>
      </c>
      <c r="V560" s="91" t="s">
        <v>999</v>
      </c>
      <c r="W560" s="142">
        <v>16.0</v>
      </c>
      <c r="X560" s="142">
        <v>128.0</v>
      </c>
      <c r="Y560" s="142">
        <v>0.0</v>
      </c>
      <c r="Z560" s="103">
        <v>0.0</v>
      </c>
      <c r="AA560" s="142" t="s">
        <v>284</v>
      </c>
      <c r="AB560" s="105">
        <v>548.23</v>
      </c>
      <c r="AC560" s="1"/>
      <c r="AD560" s="1"/>
      <c r="AE560" s="1"/>
      <c r="AF560" s="1"/>
      <c r="AG560" s="1"/>
    </row>
    <row r="561">
      <c r="A561" s="1"/>
      <c r="B561" s="1"/>
      <c r="C561" s="75"/>
      <c r="D561" s="1"/>
      <c r="E561" s="1"/>
      <c r="F561" s="1"/>
      <c r="G561" s="1"/>
      <c r="H561" s="1"/>
      <c r="I561" s="76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01" t="s">
        <v>996</v>
      </c>
      <c r="V561" s="91" t="s">
        <v>1000</v>
      </c>
      <c r="W561" s="142">
        <v>32.0</v>
      </c>
      <c r="X561" s="142">
        <v>256.0</v>
      </c>
      <c r="Y561" s="142">
        <v>0.0</v>
      </c>
      <c r="Z561" s="103">
        <v>0.0</v>
      </c>
      <c r="AA561" s="142" t="s">
        <v>208</v>
      </c>
      <c r="AB561" s="105">
        <v>1096.46</v>
      </c>
      <c r="AC561" s="1"/>
      <c r="AD561" s="1"/>
      <c r="AE561" s="1"/>
      <c r="AF561" s="1"/>
      <c r="AG561" s="1"/>
    </row>
    <row r="562">
      <c r="A562" s="1"/>
      <c r="B562" s="1"/>
      <c r="C562" s="75"/>
      <c r="D562" s="1"/>
      <c r="E562" s="1"/>
      <c r="F562" s="1"/>
      <c r="G562" s="1"/>
      <c r="H562" s="1"/>
      <c r="I562" s="76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01" t="s">
        <v>996</v>
      </c>
      <c r="V562" s="91" t="s">
        <v>1001</v>
      </c>
      <c r="W562" s="142">
        <v>48.0</v>
      </c>
      <c r="X562" s="142">
        <v>384.0</v>
      </c>
      <c r="Y562" s="142">
        <v>0.0</v>
      </c>
      <c r="Z562" s="103">
        <v>0.0</v>
      </c>
      <c r="AA562" s="142" t="s">
        <v>294</v>
      </c>
      <c r="AB562" s="105">
        <v>1644.69</v>
      </c>
      <c r="AC562" s="1"/>
      <c r="AD562" s="1"/>
      <c r="AE562" s="1"/>
      <c r="AF562" s="1"/>
      <c r="AG562" s="1"/>
    </row>
    <row r="563">
      <c r="A563" s="1"/>
      <c r="B563" s="1"/>
      <c r="C563" s="75"/>
      <c r="D563" s="1"/>
      <c r="E563" s="1"/>
      <c r="F563" s="1"/>
      <c r="G563" s="1"/>
      <c r="H563" s="1"/>
      <c r="I563" s="76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01" t="s">
        <v>996</v>
      </c>
      <c r="V563" s="91" t="s">
        <v>1002</v>
      </c>
      <c r="W563" s="142">
        <v>64.0</v>
      </c>
      <c r="X563" s="142">
        <v>512.0</v>
      </c>
      <c r="Y563" s="142">
        <v>0.0</v>
      </c>
      <c r="Z563" s="103">
        <v>0.0</v>
      </c>
      <c r="AA563" s="142" t="s">
        <v>364</v>
      </c>
      <c r="AB563" s="105">
        <v>2192.92</v>
      </c>
      <c r="AC563" s="1"/>
      <c r="AD563" s="1"/>
      <c r="AE563" s="1"/>
      <c r="AF563" s="1"/>
      <c r="AG563" s="1"/>
    </row>
    <row r="564">
      <c r="A564" s="1"/>
      <c r="B564" s="1"/>
      <c r="C564" s="75"/>
      <c r="D564" s="1"/>
      <c r="E564" s="1"/>
      <c r="F564" s="1"/>
      <c r="G564" s="1"/>
      <c r="H564" s="1"/>
      <c r="I564" s="76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01" t="s">
        <v>996</v>
      </c>
      <c r="V564" s="91" t="s">
        <v>1003</v>
      </c>
      <c r="W564" s="142">
        <v>96.0</v>
      </c>
      <c r="X564" s="142">
        <v>768.0</v>
      </c>
      <c r="Y564" s="142">
        <v>0.0</v>
      </c>
      <c r="Z564" s="103">
        <v>0.0</v>
      </c>
      <c r="AA564" s="142" t="s">
        <v>296</v>
      </c>
      <c r="AB564" s="105">
        <v>3289.38</v>
      </c>
      <c r="AC564" s="1"/>
      <c r="AD564" s="1"/>
      <c r="AE564" s="1"/>
      <c r="AF564" s="1"/>
      <c r="AG564" s="1"/>
    </row>
    <row r="565">
      <c r="A565" s="1"/>
      <c r="B565" s="1"/>
      <c r="C565" s="75"/>
      <c r="D565" s="1"/>
      <c r="E565" s="1"/>
      <c r="F565" s="1"/>
      <c r="G565" s="1"/>
      <c r="H565" s="1"/>
      <c r="I565" s="76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01" t="s">
        <v>1004</v>
      </c>
      <c r="V565" s="91" t="s">
        <v>1005</v>
      </c>
      <c r="W565" s="142">
        <v>2.0</v>
      </c>
      <c r="X565" s="142">
        <v>16.0</v>
      </c>
      <c r="Y565" s="142">
        <v>0.0</v>
      </c>
      <c r="Z565" s="103">
        <v>0.0</v>
      </c>
      <c r="AA565" s="142" t="s">
        <v>300</v>
      </c>
      <c r="AB565" s="105">
        <v>54.76</v>
      </c>
      <c r="AC565" s="1"/>
      <c r="AD565" s="1"/>
      <c r="AE565" s="1"/>
      <c r="AF565" s="1"/>
      <c r="AG565" s="1"/>
    </row>
    <row r="566">
      <c r="A566" s="1"/>
      <c r="B566" s="1"/>
      <c r="C566" s="75"/>
      <c r="D566" s="1"/>
      <c r="E566" s="1"/>
      <c r="F566" s="1"/>
      <c r="G566" s="1"/>
      <c r="H566" s="1"/>
      <c r="I566" s="76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01" t="s">
        <v>1006</v>
      </c>
      <c r="V566" s="91" t="s">
        <v>1007</v>
      </c>
      <c r="W566" s="142">
        <v>4.0</v>
      </c>
      <c r="X566" s="142">
        <v>32.0</v>
      </c>
      <c r="Y566" s="142">
        <v>0.0</v>
      </c>
      <c r="Z566" s="103">
        <v>0.0</v>
      </c>
      <c r="AA566" s="142" t="s">
        <v>300</v>
      </c>
      <c r="AB566" s="105">
        <v>109.52</v>
      </c>
      <c r="AC566" s="1"/>
      <c r="AD566" s="1"/>
      <c r="AE566" s="1"/>
      <c r="AF566" s="1"/>
      <c r="AG566" s="1"/>
    </row>
    <row r="567">
      <c r="A567" s="1"/>
      <c r="B567" s="1"/>
      <c r="C567" s="75"/>
      <c r="D567" s="1"/>
      <c r="E567" s="1"/>
      <c r="F567" s="1"/>
      <c r="G567" s="1"/>
      <c r="H567" s="1"/>
      <c r="I567" s="76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01" t="s">
        <v>1006</v>
      </c>
      <c r="V567" s="91" t="s">
        <v>1008</v>
      </c>
      <c r="W567" s="142">
        <v>8.0</v>
      </c>
      <c r="X567" s="142">
        <v>64.0</v>
      </c>
      <c r="Y567" s="142">
        <v>0.0</v>
      </c>
      <c r="Z567" s="103">
        <v>0.0</v>
      </c>
      <c r="AA567" s="142" t="s">
        <v>300</v>
      </c>
      <c r="AB567" s="105">
        <v>219.04</v>
      </c>
      <c r="AC567" s="1"/>
      <c r="AD567" s="1"/>
      <c r="AE567" s="1"/>
      <c r="AF567" s="1"/>
      <c r="AG567" s="1"/>
    </row>
    <row r="568">
      <c r="A568" s="1"/>
      <c r="B568" s="1"/>
      <c r="C568" s="75"/>
      <c r="D568" s="1"/>
      <c r="E568" s="1"/>
      <c r="F568" s="1"/>
      <c r="G568" s="1"/>
      <c r="H568" s="1"/>
      <c r="I568" s="76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01" t="s">
        <v>1006</v>
      </c>
      <c r="V568" s="91" t="s">
        <v>1009</v>
      </c>
      <c r="W568" s="142">
        <v>16.0</v>
      </c>
      <c r="X568" s="142">
        <v>128.0</v>
      </c>
      <c r="Y568" s="142">
        <v>0.0</v>
      </c>
      <c r="Z568" s="103">
        <v>0.0</v>
      </c>
      <c r="AA568" s="142" t="s">
        <v>300</v>
      </c>
      <c r="AB568" s="105">
        <v>438.08</v>
      </c>
      <c r="AC568" s="1"/>
      <c r="AD568" s="1"/>
      <c r="AE568" s="1"/>
      <c r="AF568" s="1"/>
      <c r="AG568" s="1"/>
    </row>
    <row r="569">
      <c r="A569" s="1"/>
      <c r="B569" s="1"/>
      <c r="C569" s="75"/>
      <c r="D569" s="1"/>
      <c r="E569" s="1"/>
      <c r="F569" s="1"/>
      <c r="G569" s="1"/>
      <c r="H569" s="1"/>
      <c r="I569" s="76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01" t="s">
        <v>1006</v>
      </c>
      <c r="V569" s="91" t="s">
        <v>1010</v>
      </c>
      <c r="W569" s="142">
        <v>32.0</v>
      </c>
      <c r="X569" s="142">
        <v>256.0</v>
      </c>
      <c r="Y569" s="142">
        <v>0.0</v>
      </c>
      <c r="Z569" s="103">
        <v>0.0</v>
      </c>
      <c r="AA569" s="142" t="s">
        <v>308</v>
      </c>
      <c r="AB569" s="105">
        <v>876.17</v>
      </c>
      <c r="AC569" s="1"/>
      <c r="AD569" s="1"/>
      <c r="AE569" s="1"/>
      <c r="AF569" s="1"/>
      <c r="AG569" s="1"/>
    </row>
    <row r="570">
      <c r="A570" s="1"/>
      <c r="B570" s="1"/>
      <c r="C570" s="75"/>
      <c r="D570" s="1"/>
      <c r="E570" s="1"/>
      <c r="F570" s="1"/>
      <c r="G570" s="1"/>
      <c r="H570" s="1"/>
      <c r="I570" s="76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01" t="s">
        <v>1006</v>
      </c>
      <c r="V570" s="91" t="s">
        <v>1011</v>
      </c>
      <c r="W570" s="142">
        <v>48.0</v>
      </c>
      <c r="X570" s="142">
        <v>384.0</v>
      </c>
      <c r="Y570" s="142">
        <v>0.0</v>
      </c>
      <c r="Z570" s="103">
        <v>0.0</v>
      </c>
      <c r="AA570" s="142" t="s">
        <v>311</v>
      </c>
      <c r="AB570" s="105">
        <v>1314.25</v>
      </c>
      <c r="AC570" s="1"/>
      <c r="AD570" s="1"/>
      <c r="AE570" s="1"/>
      <c r="AF570" s="1"/>
      <c r="AG570" s="1"/>
    </row>
    <row r="571">
      <c r="A571" s="1"/>
      <c r="B571" s="1"/>
      <c r="C571" s="75"/>
      <c r="D571" s="1"/>
      <c r="E571" s="1"/>
      <c r="F571" s="1"/>
      <c r="G571" s="1"/>
      <c r="H571" s="1"/>
      <c r="I571" s="76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01" t="s">
        <v>1006</v>
      </c>
      <c r="V571" s="91" t="s">
        <v>1012</v>
      </c>
      <c r="W571" s="142">
        <v>64.0</v>
      </c>
      <c r="X571" s="142">
        <v>512.0</v>
      </c>
      <c r="Y571" s="142">
        <v>0.0</v>
      </c>
      <c r="Z571" s="103">
        <v>0.0</v>
      </c>
      <c r="AA571" s="142" t="s">
        <v>208</v>
      </c>
      <c r="AB571" s="105">
        <v>1752.33</v>
      </c>
      <c r="AC571" s="1"/>
      <c r="AD571" s="1"/>
      <c r="AE571" s="1"/>
      <c r="AF571" s="1"/>
      <c r="AG571" s="1"/>
    </row>
    <row r="572">
      <c r="A572" s="1"/>
      <c r="B572" s="1"/>
      <c r="C572" s="75"/>
      <c r="D572" s="1"/>
      <c r="E572" s="1"/>
      <c r="F572" s="1"/>
      <c r="G572" s="1"/>
      <c r="H572" s="1"/>
      <c r="I572" s="76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01" t="s">
        <v>1006</v>
      </c>
      <c r="V572" s="91" t="s">
        <v>1013</v>
      </c>
      <c r="W572" s="142">
        <v>96.0</v>
      </c>
      <c r="X572" s="142">
        <v>768.0</v>
      </c>
      <c r="Y572" s="142">
        <v>0.0</v>
      </c>
      <c r="Z572" s="103">
        <v>0.0</v>
      </c>
      <c r="AA572" s="142" t="s">
        <v>315</v>
      </c>
      <c r="AB572" s="105">
        <v>2628.5</v>
      </c>
      <c r="AC572" s="1"/>
      <c r="AD572" s="1"/>
      <c r="AE572" s="1"/>
      <c r="AF572" s="1"/>
      <c r="AG572" s="1"/>
    </row>
    <row r="573">
      <c r="A573" s="1"/>
      <c r="B573" s="1"/>
      <c r="C573" s="75"/>
      <c r="D573" s="1"/>
      <c r="E573" s="1"/>
      <c r="F573" s="1"/>
      <c r="G573" s="1"/>
      <c r="H573" s="1"/>
      <c r="I573" s="76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01" t="s">
        <v>1006</v>
      </c>
      <c r="V573" s="91" t="s">
        <v>1014</v>
      </c>
      <c r="W573" s="142">
        <v>128.0</v>
      </c>
      <c r="X573" s="142">
        <v>1024.0</v>
      </c>
      <c r="Y573" s="142">
        <v>0.0</v>
      </c>
      <c r="Z573" s="103">
        <v>0.0</v>
      </c>
      <c r="AA573" s="142" t="s">
        <v>294</v>
      </c>
      <c r="AB573" s="105">
        <v>3504.66</v>
      </c>
      <c r="AC573" s="1"/>
      <c r="AD573" s="1"/>
      <c r="AE573" s="1"/>
      <c r="AF573" s="1"/>
      <c r="AG573" s="1"/>
    </row>
    <row r="574">
      <c r="A574" s="1"/>
      <c r="B574" s="1"/>
      <c r="C574" s="75"/>
      <c r="D574" s="1"/>
      <c r="E574" s="1"/>
      <c r="F574" s="1"/>
      <c r="G574" s="1"/>
      <c r="H574" s="1"/>
      <c r="I574" s="76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01" t="s">
        <v>1006</v>
      </c>
      <c r="V574" s="91" t="s">
        <v>1015</v>
      </c>
      <c r="W574" s="142">
        <v>192.0</v>
      </c>
      <c r="X574" s="142">
        <v>1536.0</v>
      </c>
      <c r="Y574" s="142">
        <v>0.0</v>
      </c>
      <c r="Z574" s="103">
        <v>0.0</v>
      </c>
      <c r="AA574" s="142" t="s">
        <v>294</v>
      </c>
      <c r="AB574" s="105">
        <v>5256.99</v>
      </c>
      <c r="AC574" s="1"/>
      <c r="AD574" s="1"/>
      <c r="AE574" s="1"/>
      <c r="AF574" s="1"/>
      <c r="AG574" s="1"/>
    </row>
    <row r="575">
      <c r="A575" s="1"/>
      <c r="B575" s="1"/>
      <c r="C575" s="75"/>
      <c r="D575" s="1"/>
      <c r="E575" s="1"/>
      <c r="F575" s="1"/>
      <c r="G575" s="1"/>
      <c r="H575" s="1"/>
      <c r="I575" s="76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01" t="s">
        <v>1016</v>
      </c>
      <c r="V575" s="91" t="s">
        <v>1017</v>
      </c>
      <c r="W575" s="142">
        <v>1.0</v>
      </c>
      <c r="X575" s="142">
        <v>8.0</v>
      </c>
      <c r="Y575" s="142">
        <v>0.0</v>
      </c>
      <c r="Z575" s="103">
        <v>0.0</v>
      </c>
      <c r="AA575" s="142" t="s">
        <v>105</v>
      </c>
      <c r="AB575" s="105">
        <v>23.21</v>
      </c>
      <c r="AC575" s="1"/>
      <c r="AD575" s="1"/>
      <c r="AE575" s="1"/>
      <c r="AF575" s="1"/>
      <c r="AG575" s="1"/>
    </row>
    <row r="576">
      <c r="A576" s="1"/>
      <c r="B576" s="1"/>
      <c r="C576" s="75"/>
      <c r="D576" s="1"/>
      <c r="E576" s="1"/>
      <c r="F576" s="1"/>
      <c r="G576" s="1"/>
      <c r="H576" s="1"/>
      <c r="I576" s="76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01" t="s">
        <v>1018</v>
      </c>
      <c r="V576" s="91" t="s">
        <v>1019</v>
      </c>
      <c r="W576" s="142">
        <v>2.0</v>
      </c>
      <c r="X576" s="142">
        <v>16.0</v>
      </c>
      <c r="Y576" s="142">
        <v>0.0</v>
      </c>
      <c r="Z576" s="103">
        <v>0.0</v>
      </c>
      <c r="AA576" s="142" t="s">
        <v>105</v>
      </c>
      <c r="AB576" s="105">
        <v>46.36</v>
      </c>
      <c r="AC576" s="1"/>
      <c r="AD576" s="1"/>
      <c r="AE576" s="1"/>
      <c r="AF576" s="1"/>
      <c r="AG576" s="1"/>
    </row>
    <row r="577">
      <c r="A577" s="1"/>
      <c r="B577" s="1"/>
      <c r="C577" s="75"/>
      <c r="D577" s="1"/>
      <c r="E577" s="1"/>
      <c r="F577" s="1"/>
      <c r="G577" s="1"/>
      <c r="H577" s="1"/>
      <c r="I577" s="76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01" t="s">
        <v>1018</v>
      </c>
      <c r="V577" s="91" t="s">
        <v>1020</v>
      </c>
      <c r="W577" s="142">
        <v>4.0</v>
      </c>
      <c r="X577" s="142">
        <v>32.0</v>
      </c>
      <c r="Y577" s="142">
        <v>0.0</v>
      </c>
      <c r="Z577" s="103">
        <v>0.0</v>
      </c>
      <c r="AA577" s="142" t="s">
        <v>105</v>
      </c>
      <c r="AB577" s="105">
        <v>92.71</v>
      </c>
      <c r="AC577" s="1"/>
      <c r="AD577" s="1"/>
      <c r="AE577" s="1"/>
      <c r="AF577" s="1"/>
      <c r="AG577" s="1"/>
    </row>
    <row r="578">
      <c r="A578" s="1"/>
      <c r="B578" s="1"/>
      <c r="C578" s="75"/>
      <c r="D578" s="1"/>
      <c r="E578" s="1"/>
      <c r="F578" s="1"/>
      <c r="G578" s="1"/>
      <c r="H578" s="1"/>
      <c r="I578" s="76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01" t="s">
        <v>1018</v>
      </c>
      <c r="V578" s="91" t="s">
        <v>1021</v>
      </c>
      <c r="W578" s="142">
        <v>8.0</v>
      </c>
      <c r="X578" s="142">
        <v>64.0</v>
      </c>
      <c r="Y578" s="142">
        <v>0.0</v>
      </c>
      <c r="Z578" s="103">
        <v>0.0</v>
      </c>
      <c r="AA578" s="142" t="s">
        <v>105</v>
      </c>
      <c r="AB578" s="105">
        <v>185.42</v>
      </c>
      <c r="AC578" s="1"/>
      <c r="AD578" s="1"/>
      <c r="AE578" s="1"/>
      <c r="AF578" s="1"/>
      <c r="AG578" s="1"/>
    </row>
    <row r="579">
      <c r="A579" s="1"/>
      <c r="B579" s="1"/>
      <c r="C579" s="75"/>
      <c r="D579" s="1"/>
      <c r="E579" s="1"/>
      <c r="F579" s="1"/>
      <c r="G579" s="1"/>
      <c r="H579" s="1"/>
      <c r="I579" s="76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01" t="s">
        <v>1018</v>
      </c>
      <c r="V579" s="91" t="s">
        <v>1022</v>
      </c>
      <c r="W579" s="142">
        <v>16.0</v>
      </c>
      <c r="X579" s="142">
        <v>128.0</v>
      </c>
      <c r="Y579" s="142">
        <v>0.0</v>
      </c>
      <c r="Z579" s="103">
        <v>0.0</v>
      </c>
      <c r="AA579" s="142" t="s">
        <v>105</v>
      </c>
      <c r="AB579" s="105">
        <v>370.84</v>
      </c>
      <c r="AC579" s="1"/>
      <c r="AD579" s="1"/>
      <c r="AE579" s="1"/>
      <c r="AF579" s="1"/>
      <c r="AG579" s="1"/>
    </row>
    <row r="580">
      <c r="A580" s="1"/>
      <c r="B580" s="1"/>
      <c r="C580" s="75"/>
      <c r="D580" s="1"/>
      <c r="E580" s="1"/>
      <c r="F580" s="1"/>
      <c r="G580" s="1"/>
      <c r="H580" s="1"/>
      <c r="I580" s="76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01" t="s">
        <v>1018</v>
      </c>
      <c r="V580" s="91" t="s">
        <v>1023</v>
      </c>
      <c r="W580" s="142">
        <v>32.0</v>
      </c>
      <c r="X580" s="142">
        <v>256.0</v>
      </c>
      <c r="Y580" s="142">
        <v>0.0</v>
      </c>
      <c r="Z580" s="103">
        <v>0.0</v>
      </c>
      <c r="AA580" s="142" t="s">
        <v>198</v>
      </c>
      <c r="AB580" s="105">
        <v>741.75</v>
      </c>
      <c r="AC580" s="1"/>
      <c r="AD580" s="1"/>
      <c r="AE580" s="1"/>
      <c r="AF580" s="1"/>
      <c r="AG580" s="1"/>
    </row>
    <row r="581">
      <c r="A581" s="1"/>
      <c r="B581" s="1"/>
      <c r="C581" s="75"/>
      <c r="D581" s="1"/>
      <c r="E581" s="1"/>
      <c r="F581" s="1"/>
      <c r="G581" s="1"/>
      <c r="H581" s="1"/>
      <c r="I581" s="76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01" t="s">
        <v>1018</v>
      </c>
      <c r="V581" s="91" t="s">
        <v>1024</v>
      </c>
      <c r="W581" s="142">
        <v>48.0</v>
      </c>
      <c r="X581" s="142">
        <v>384.0</v>
      </c>
      <c r="Y581" s="142">
        <v>0.0</v>
      </c>
      <c r="Z581" s="103">
        <v>0.0</v>
      </c>
      <c r="AA581" s="142" t="s">
        <v>236</v>
      </c>
      <c r="AB581" s="105">
        <v>1112.59</v>
      </c>
      <c r="AC581" s="1"/>
      <c r="AD581" s="1"/>
      <c r="AE581" s="1"/>
      <c r="AF581" s="1"/>
      <c r="AG581" s="1"/>
    </row>
    <row r="582">
      <c r="A582" s="1"/>
      <c r="B582" s="1"/>
      <c r="C582" s="75"/>
      <c r="D582" s="1"/>
      <c r="E582" s="1"/>
      <c r="F582" s="1"/>
      <c r="G582" s="1"/>
      <c r="H582" s="1"/>
      <c r="I582" s="76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01" t="s">
        <v>1018</v>
      </c>
      <c r="V582" s="91" t="s">
        <v>1025</v>
      </c>
      <c r="W582" s="142">
        <v>64.0</v>
      </c>
      <c r="X582" s="142">
        <v>512.0</v>
      </c>
      <c r="Y582" s="142">
        <v>0.0</v>
      </c>
      <c r="Z582" s="103">
        <v>0.0</v>
      </c>
      <c r="AA582" s="142" t="s">
        <v>208</v>
      </c>
      <c r="AB582" s="105">
        <v>1483.43</v>
      </c>
      <c r="AC582" s="1"/>
      <c r="AD582" s="1"/>
      <c r="AE582" s="1"/>
      <c r="AF582" s="1"/>
      <c r="AG582" s="1"/>
    </row>
    <row r="583">
      <c r="A583" s="1"/>
      <c r="B583" s="1"/>
      <c r="C583" s="75"/>
      <c r="D583" s="1"/>
      <c r="E583" s="1"/>
      <c r="F583" s="1"/>
      <c r="G583" s="1"/>
      <c r="H583" s="1"/>
      <c r="I583" s="76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01" t="s">
        <v>1026</v>
      </c>
      <c r="V583" s="91" t="s">
        <v>1027</v>
      </c>
      <c r="W583" s="142">
        <v>1.0</v>
      </c>
      <c r="X583" s="142">
        <v>8.0</v>
      </c>
      <c r="Y583" s="142">
        <v>1900.0</v>
      </c>
      <c r="Z583" s="103">
        <f t="shared" ref="Z583:Z586" si="16">Z584/2</f>
        <v>0.03125</v>
      </c>
      <c r="AA583" s="142" t="s">
        <v>105</v>
      </c>
      <c r="AB583" s="105">
        <v>26.5</v>
      </c>
      <c r="AC583" s="1"/>
      <c r="AD583" s="1"/>
      <c r="AE583" s="1"/>
      <c r="AF583" s="1"/>
      <c r="AG583" s="1"/>
    </row>
    <row r="584">
      <c r="A584" s="1"/>
      <c r="B584" s="1"/>
      <c r="C584" s="75"/>
      <c r="D584" s="1"/>
      <c r="E584" s="1"/>
      <c r="F584" s="1"/>
      <c r="G584" s="1"/>
      <c r="H584" s="1"/>
      <c r="I584" s="76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01" t="s">
        <v>1026</v>
      </c>
      <c r="V584" s="91" t="s">
        <v>1028</v>
      </c>
      <c r="W584" s="142">
        <v>2.0</v>
      </c>
      <c r="X584" s="142">
        <v>16.0</v>
      </c>
      <c r="Y584" s="142">
        <v>1900.0</v>
      </c>
      <c r="Z584" s="103">
        <f t="shared" si="16"/>
        <v>0.0625</v>
      </c>
      <c r="AA584" s="142" t="s">
        <v>105</v>
      </c>
      <c r="AB584" s="105">
        <v>53.0</v>
      </c>
      <c r="AC584" s="1"/>
      <c r="AD584" s="1"/>
      <c r="AE584" s="1"/>
      <c r="AF584" s="1"/>
      <c r="AG584" s="1"/>
    </row>
    <row r="585">
      <c r="A585" s="1"/>
      <c r="B585" s="1"/>
      <c r="C585" s="75"/>
      <c r="D585" s="1"/>
      <c r="E585" s="1"/>
      <c r="F585" s="1"/>
      <c r="G585" s="1"/>
      <c r="H585" s="1"/>
      <c r="I585" s="76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01" t="s">
        <v>1026</v>
      </c>
      <c r="V585" s="91" t="s">
        <v>1029</v>
      </c>
      <c r="W585" s="142">
        <v>4.0</v>
      </c>
      <c r="X585" s="142">
        <v>32.0</v>
      </c>
      <c r="Y585" s="142">
        <v>1900.0</v>
      </c>
      <c r="Z585" s="103">
        <f t="shared" si="16"/>
        <v>0.125</v>
      </c>
      <c r="AA585" s="142" t="s">
        <v>105</v>
      </c>
      <c r="AB585" s="105">
        <v>106.0</v>
      </c>
      <c r="AC585" s="1"/>
      <c r="AD585" s="1"/>
      <c r="AE585" s="1"/>
      <c r="AF585" s="1"/>
      <c r="AG585" s="1"/>
    </row>
    <row r="586">
      <c r="A586" s="1"/>
      <c r="B586" s="1"/>
      <c r="C586" s="75"/>
      <c r="D586" s="1"/>
      <c r="E586" s="1"/>
      <c r="F586" s="1"/>
      <c r="G586" s="1"/>
      <c r="H586" s="1"/>
      <c r="I586" s="76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01" t="s">
        <v>1026</v>
      </c>
      <c r="V586" s="91" t="s">
        <v>1030</v>
      </c>
      <c r="W586" s="142">
        <v>8.0</v>
      </c>
      <c r="X586" s="142">
        <v>64.0</v>
      </c>
      <c r="Y586" s="142">
        <v>1900.0</v>
      </c>
      <c r="Z586" s="103">
        <f t="shared" si="16"/>
        <v>0.25</v>
      </c>
      <c r="AA586" s="142" t="s">
        <v>105</v>
      </c>
      <c r="AB586" s="105">
        <v>211.92</v>
      </c>
      <c r="AC586" s="1"/>
      <c r="AD586" s="1"/>
      <c r="AE586" s="1"/>
      <c r="AF586" s="1"/>
      <c r="AG586" s="1"/>
    </row>
    <row r="587">
      <c r="A587" s="1"/>
      <c r="B587" s="1"/>
      <c r="C587" s="75"/>
      <c r="D587" s="1"/>
      <c r="E587" s="1"/>
      <c r="F587" s="1"/>
      <c r="G587" s="1"/>
      <c r="H587" s="1"/>
      <c r="I587" s="76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01" t="s">
        <v>1031</v>
      </c>
      <c r="V587" s="91" t="s">
        <v>1032</v>
      </c>
      <c r="W587" s="142">
        <v>16.0</v>
      </c>
      <c r="X587" s="142">
        <v>128.0</v>
      </c>
      <c r="Y587" s="142">
        <v>1900.0</v>
      </c>
      <c r="Z587" s="103">
        <v>0.5</v>
      </c>
      <c r="AA587" s="142" t="s">
        <v>105</v>
      </c>
      <c r="AB587" s="105">
        <v>423.84</v>
      </c>
      <c r="AC587" s="1"/>
      <c r="AD587" s="1"/>
      <c r="AE587" s="1"/>
      <c r="AF587" s="1"/>
      <c r="AG587" s="1"/>
    </row>
    <row r="588">
      <c r="A588" s="1"/>
      <c r="B588" s="1"/>
      <c r="C588" s="75"/>
      <c r="D588" s="1"/>
      <c r="E588" s="1"/>
      <c r="F588" s="1"/>
      <c r="G588" s="1"/>
      <c r="H588" s="1"/>
      <c r="I588" s="76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01" t="s">
        <v>1026</v>
      </c>
      <c r="V588" s="91" t="s">
        <v>1033</v>
      </c>
      <c r="W588" s="142">
        <v>32.0</v>
      </c>
      <c r="X588" s="142">
        <v>256.0</v>
      </c>
      <c r="Y588" s="142">
        <v>1900.0</v>
      </c>
      <c r="Z588" s="103">
        <v>1.0</v>
      </c>
      <c r="AA588" s="142" t="s">
        <v>198</v>
      </c>
      <c r="AB588" s="105">
        <v>847.68</v>
      </c>
      <c r="AC588" s="1"/>
      <c r="AD588" s="1"/>
      <c r="AE588" s="1"/>
      <c r="AF588" s="1"/>
      <c r="AG588" s="1"/>
    </row>
    <row r="589">
      <c r="A589" s="1"/>
      <c r="B589" s="1"/>
      <c r="C589" s="75"/>
      <c r="D589" s="1"/>
      <c r="E589" s="1"/>
      <c r="F589" s="1"/>
      <c r="G589" s="1"/>
      <c r="H589" s="1"/>
      <c r="I589" s="76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01" t="s">
        <v>1026</v>
      </c>
      <c r="V589" s="91" t="s">
        <v>1034</v>
      </c>
      <c r="W589" s="142">
        <v>48.0</v>
      </c>
      <c r="X589" s="142">
        <v>384.0</v>
      </c>
      <c r="Y589" s="142">
        <v>1900.0</v>
      </c>
      <c r="Z589" s="103">
        <v>1.5</v>
      </c>
      <c r="AA589" s="142" t="s">
        <v>236</v>
      </c>
      <c r="AB589" s="105">
        <v>1271.51</v>
      </c>
      <c r="AC589" s="1"/>
      <c r="AD589" s="1"/>
      <c r="AE589" s="1"/>
      <c r="AF589" s="1"/>
      <c r="AG589" s="1"/>
    </row>
    <row r="590">
      <c r="A590" s="1"/>
      <c r="B590" s="1"/>
      <c r="C590" s="75"/>
      <c r="D590" s="1"/>
      <c r="E590" s="1"/>
      <c r="F590" s="1"/>
      <c r="G590" s="1"/>
      <c r="H590" s="1"/>
      <c r="I590" s="76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01" t="s">
        <v>1026</v>
      </c>
      <c r="V590" s="91" t="s">
        <v>1035</v>
      </c>
      <c r="W590" s="142">
        <v>64.0</v>
      </c>
      <c r="X590" s="142">
        <v>512.0</v>
      </c>
      <c r="Y590" s="142">
        <v>1900.0</v>
      </c>
      <c r="Z590" s="103">
        <v>2.0</v>
      </c>
      <c r="AA590" s="142" t="s">
        <v>208</v>
      </c>
      <c r="AB590" s="105">
        <v>1695.35</v>
      </c>
      <c r="AC590" s="1"/>
      <c r="AD590" s="1"/>
      <c r="AE590" s="1"/>
      <c r="AF590" s="1"/>
      <c r="AG590" s="1"/>
    </row>
    <row r="591">
      <c r="A591" s="1"/>
      <c r="B591" s="1"/>
      <c r="C591" s="75"/>
      <c r="D591" s="1"/>
      <c r="E591" s="1"/>
      <c r="F591" s="1"/>
      <c r="G591" s="1"/>
      <c r="H591" s="1"/>
      <c r="I591" s="76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01" t="s">
        <v>1036</v>
      </c>
      <c r="V591" s="91" t="s">
        <v>1037</v>
      </c>
      <c r="W591" s="142">
        <v>2.0</v>
      </c>
      <c r="X591" s="142">
        <v>16.0</v>
      </c>
      <c r="Y591" s="142">
        <v>0.0</v>
      </c>
      <c r="Z591" s="103">
        <v>0.0</v>
      </c>
      <c r="AA591" s="142" t="s">
        <v>300</v>
      </c>
      <c r="AB591" s="105">
        <v>60.85</v>
      </c>
      <c r="AC591" s="1"/>
      <c r="AD591" s="1"/>
      <c r="AE591" s="1"/>
      <c r="AF591" s="1"/>
      <c r="AG591" s="1"/>
    </row>
    <row r="592">
      <c r="A592" s="1"/>
      <c r="B592" s="1"/>
      <c r="C592" s="75"/>
      <c r="D592" s="1"/>
      <c r="E592" s="1"/>
      <c r="F592" s="1"/>
      <c r="G592" s="1"/>
      <c r="H592" s="1"/>
      <c r="I592" s="76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01" t="s">
        <v>1038</v>
      </c>
      <c r="V592" s="91" t="s">
        <v>1039</v>
      </c>
      <c r="W592" s="142">
        <v>4.0</v>
      </c>
      <c r="X592" s="142">
        <v>32.0</v>
      </c>
      <c r="Y592" s="142">
        <v>0.0</v>
      </c>
      <c r="Z592" s="103">
        <v>0.0</v>
      </c>
      <c r="AA592" s="142" t="s">
        <v>300</v>
      </c>
      <c r="AB592" s="105">
        <v>121.69</v>
      </c>
      <c r="AC592" s="1"/>
      <c r="AD592" s="1"/>
      <c r="AE592" s="1"/>
      <c r="AF592" s="1"/>
      <c r="AG592" s="1"/>
    </row>
    <row r="593">
      <c r="A593" s="1"/>
      <c r="B593" s="1"/>
      <c r="C593" s="75"/>
      <c r="D593" s="1"/>
      <c r="E593" s="1"/>
      <c r="F593" s="1"/>
      <c r="G593" s="1"/>
      <c r="H593" s="1"/>
      <c r="I593" s="76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01" t="s">
        <v>1038</v>
      </c>
      <c r="V593" s="91" t="s">
        <v>1040</v>
      </c>
      <c r="W593" s="142">
        <v>8.0</v>
      </c>
      <c r="X593" s="142">
        <v>64.0</v>
      </c>
      <c r="Y593" s="142">
        <v>0.0</v>
      </c>
      <c r="Z593" s="103">
        <v>0.0</v>
      </c>
      <c r="AA593" s="142" t="s">
        <v>300</v>
      </c>
      <c r="AB593" s="105">
        <v>243.38</v>
      </c>
      <c r="AC593" s="1"/>
      <c r="AD593" s="1"/>
      <c r="AE593" s="1"/>
      <c r="AF593" s="1"/>
      <c r="AG593" s="1"/>
    </row>
    <row r="594">
      <c r="A594" s="1"/>
      <c r="B594" s="1"/>
      <c r="C594" s="75"/>
      <c r="D594" s="1"/>
      <c r="E594" s="1"/>
      <c r="F594" s="1"/>
      <c r="G594" s="1"/>
      <c r="H594" s="1"/>
      <c r="I594" s="76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01" t="s">
        <v>1038</v>
      </c>
      <c r="V594" s="91" t="s">
        <v>1041</v>
      </c>
      <c r="W594" s="142">
        <v>16.0</v>
      </c>
      <c r="X594" s="142">
        <v>128.0</v>
      </c>
      <c r="Y594" s="142">
        <v>0.0</v>
      </c>
      <c r="Z594" s="103">
        <v>0.0</v>
      </c>
      <c r="AA594" s="142" t="s">
        <v>300</v>
      </c>
      <c r="AB594" s="105">
        <v>486.76</v>
      </c>
      <c r="AC594" s="1"/>
      <c r="AD594" s="1"/>
      <c r="AE594" s="1"/>
      <c r="AF594" s="1"/>
      <c r="AG594" s="1"/>
    </row>
    <row r="595">
      <c r="A595" s="1"/>
      <c r="B595" s="1"/>
      <c r="C595" s="75"/>
      <c r="D595" s="1"/>
      <c r="E595" s="1"/>
      <c r="F595" s="1"/>
      <c r="G595" s="1"/>
      <c r="H595" s="1"/>
      <c r="I595" s="76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01" t="s">
        <v>1038</v>
      </c>
      <c r="V595" s="91" t="s">
        <v>1042</v>
      </c>
      <c r="W595" s="142">
        <v>32.0</v>
      </c>
      <c r="X595" s="142">
        <v>256.0</v>
      </c>
      <c r="Y595" s="142">
        <v>0.0</v>
      </c>
      <c r="Z595" s="103">
        <v>0.0</v>
      </c>
      <c r="AA595" s="142" t="s">
        <v>308</v>
      </c>
      <c r="AB595" s="105">
        <v>973.51</v>
      </c>
      <c r="AC595" s="1"/>
      <c r="AD595" s="1"/>
      <c r="AE595" s="1"/>
      <c r="AF595" s="1"/>
      <c r="AG595" s="1"/>
    </row>
    <row r="596">
      <c r="A596" s="1"/>
      <c r="B596" s="1"/>
      <c r="C596" s="75"/>
      <c r="D596" s="1"/>
      <c r="E596" s="1"/>
      <c r="F596" s="1"/>
      <c r="G596" s="1"/>
      <c r="H596" s="1"/>
      <c r="I596" s="76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01" t="s">
        <v>1038</v>
      </c>
      <c r="V596" s="91" t="s">
        <v>1043</v>
      </c>
      <c r="W596" s="142">
        <v>48.0</v>
      </c>
      <c r="X596" s="142">
        <v>384.0</v>
      </c>
      <c r="Y596" s="142">
        <v>0.0</v>
      </c>
      <c r="Z596" s="103">
        <v>0.0</v>
      </c>
      <c r="AA596" s="142" t="s">
        <v>311</v>
      </c>
      <c r="AB596" s="105">
        <v>1460.28</v>
      </c>
      <c r="AC596" s="1"/>
      <c r="AD596" s="1"/>
      <c r="AE596" s="1"/>
      <c r="AF596" s="1"/>
      <c r="AG596" s="1"/>
    </row>
    <row r="597">
      <c r="A597" s="1"/>
      <c r="B597" s="1"/>
      <c r="C597" s="75"/>
      <c r="D597" s="1"/>
      <c r="E597" s="1"/>
      <c r="F597" s="1"/>
      <c r="G597" s="1"/>
      <c r="H597" s="1"/>
      <c r="I597" s="76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01" t="s">
        <v>1038</v>
      </c>
      <c r="V597" s="91" t="s">
        <v>1044</v>
      </c>
      <c r="W597" s="142">
        <v>64.0</v>
      </c>
      <c r="X597" s="142">
        <v>512.0</v>
      </c>
      <c r="Y597" s="142">
        <v>0.0</v>
      </c>
      <c r="Z597" s="103">
        <v>0.0</v>
      </c>
      <c r="AA597" s="142" t="s">
        <v>208</v>
      </c>
      <c r="AB597" s="105">
        <v>1947.03</v>
      </c>
      <c r="AC597" s="1"/>
      <c r="AD597" s="1"/>
      <c r="AE597" s="1"/>
      <c r="AF597" s="1"/>
      <c r="AG597" s="1"/>
    </row>
    <row r="598">
      <c r="A598" s="1"/>
      <c r="B598" s="1"/>
      <c r="C598" s="75"/>
      <c r="D598" s="1"/>
      <c r="E598" s="1"/>
      <c r="F598" s="1"/>
      <c r="G598" s="1"/>
      <c r="H598" s="1"/>
      <c r="I598" s="76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01" t="s">
        <v>1038</v>
      </c>
      <c r="V598" s="91" t="s">
        <v>1045</v>
      </c>
      <c r="W598" s="142">
        <v>96.0</v>
      </c>
      <c r="X598" s="142">
        <v>768.0</v>
      </c>
      <c r="Y598" s="142">
        <v>0.0</v>
      </c>
      <c r="Z598" s="103">
        <v>0.0</v>
      </c>
      <c r="AA598" s="142" t="s">
        <v>315</v>
      </c>
      <c r="AB598" s="105">
        <v>2920.55</v>
      </c>
      <c r="AC598" s="1"/>
      <c r="AD598" s="1"/>
      <c r="AE598" s="1"/>
      <c r="AF598" s="1"/>
      <c r="AG598" s="1"/>
    </row>
    <row r="599">
      <c r="A599" s="1"/>
      <c r="B599" s="1"/>
      <c r="C599" s="75"/>
      <c r="D599" s="1"/>
      <c r="E599" s="1"/>
      <c r="F599" s="1"/>
      <c r="G599" s="1"/>
      <c r="H599" s="1"/>
      <c r="I599" s="76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01" t="s">
        <v>1038</v>
      </c>
      <c r="V599" s="91" t="s">
        <v>1046</v>
      </c>
      <c r="W599" s="142">
        <v>128.0</v>
      </c>
      <c r="X599" s="142">
        <v>1024.0</v>
      </c>
      <c r="Y599" s="142">
        <v>0.0</v>
      </c>
      <c r="Z599" s="103">
        <v>0.0</v>
      </c>
      <c r="AA599" s="142" t="s">
        <v>294</v>
      </c>
      <c r="AB599" s="105">
        <v>3894.07</v>
      </c>
      <c r="AC599" s="1"/>
      <c r="AD599" s="1"/>
      <c r="AE599" s="1"/>
      <c r="AF599" s="1"/>
      <c r="AG599" s="1"/>
    </row>
    <row r="600">
      <c r="A600" s="1"/>
      <c r="B600" s="1"/>
      <c r="C600" s="75"/>
      <c r="D600" s="1"/>
      <c r="E600" s="1"/>
      <c r="F600" s="1"/>
      <c r="G600" s="1"/>
      <c r="H600" s="1"/>
      <c r="I600" s="76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01" t="s">
        <v>1047</v>
      </c>
      <c r="V600" s="91" t="s">
        <v>1048</v>
      </c>
      <c r="W600" s="142">
        <v>2.0</v>
      </c>
      <c r="X600" s="142">
        <v>16.0</v>
      </c>
      <c r="Y600" s="142">
        <v>1900.0</v>
      </c>
      <c r="Z600" s="103">
        <f t="shared" ref="Z600:Z602" si="17">Z601/2</f>
        <v>0.0625</v>
      </c>
      <c r="AA600" s="142" t="s">
        <v>300</v>
      </c>
      <c r="AB600" s="105">
        <v>69.37</v>
      </c>
      <c r="AC600" s="1"/>
      <c r="AD600" s="1"/>
      <c r="AE600" s="1"/>
      <c r="AF600" s="1"/>
      <c r="AG600" s="1"/>
    </row>
    <row r="601">
      <c r="A601" s="1"/>
      <c r="B601" s="1"/>
      <c r="C601" s="75"/>
      <c r="D601" s="1"/>
      <c r="E601" s="1"/>
      <c r="F601" s="1"/>
      <c r="G601" s="1"/>
      <c r="H601" s="1"/>
      <c r="I601" s="76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01" t="s">
        <v>1047</v>
      </c>
      <c r="V601" s="91" t="s">
        <v>1049</v>
      </c>
      <c r="W601" s="142">
        <v>4.0</v>
      </c>
      <c r="X601" s="142">
        <v>32.0</v>
      </c>
      <c r="Y601" s="142">
        <v>1900.0</v>
      </c>
      <c r="Z601" s="103">
        <f t="shared" si="17"/>
        <v>0.125</v>
      </c>
      <c r="AA601" s="142" t="s">
        <v>300</v>
      </c>
      <c r="AB601" s="105">
        <v>138.74</v>
      </c>
      <c r="AC601" s="1"/>
      <c r="AD601" s="1"/>
      <c r="AE601" s="1"/>
      <c r="AF601" s="1"/>
      <c r="AG601" s="1"/>
    </row>
    <row r="602">
      <c r="A602" s="1"/>
      <c r="B602" s="1"/>
      <c r="C602" s="75"/>
      <c r="D602" s="1"/>
      <c r="E602" s="1"/>
      <c r="F602" s="1"/>
      <c r="G602" s="1"/>
      <c r="H602" s="1"/>
      <c r="I602" s="76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01" t="s">
        <v>1047</v>
      </c>
      <c r="V602" s="91" t="s">
        <v>1050</v>
      </c>
      <c r="W602" s="142">
        <v>8.0</v>
      </c>
      <c r="X602" s="142">
        <v>64.0</v>
      </c>
      <c r="Y602" s="142">
        <v>1900.0</v>
      </c>
      <c r="Z602" s="103">
        <f t="shared" si="17"/>
        <v>0.25</v>
      </c>
      <c r="AA602" s="142" t="s">
        <v>300</v>
      </c>
      <c r="AB602" s="105">
        <v>277.47</v>
      </c>
      <c r="AC602" s="1"/>
      <c r="AD602" s="1"/>
      <c r="AE602" s="1"/>
      <c r="AF602" s="1"/>
      <c r="AG602" s="1"/>
    </row>
    <row r="603">
      <c r="A603" s="1"/>
      <c r="B603" s="1"/>
      <c r="C603" s="75"/>
      <c r="D603" s="1"/>
      <c r="E603" s="1"/>
      <c r="F603" s="1"/>
      <c r="G603" s="1"/>
      <c r="H603" s="1"/>
      <c r="I603" s="76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01" t="s">
        <v>1051</v>
      </c>
      <c r="V603" s="91" t="s">
        <v>1052</v>
      </c>
      <c r="W603" s="142">
        <v>16.0</v>
      </c>
      <c r="X603" s="142">
        <v>128.0</v>
      </c>
      <c r="Y603" s="142">
        <v>1900.0</v>
      </c>
      <c r="Z603" s="103">
        <v>0.5</v>
      </c>
      <c r="AA603" s="142" t="s">
        <v>300</v>
      </c>
      <c r="AB603" s="105">
        <v>554.95</v>
      </c>
      <c r="AC603" s="1"/>
      <c r="AD603" s="1"/>
      <c r="AE603" s="1"/>
      <c r="AF603" s="1"/>
      <c r="AG603" s="1"/>
    </row>
    <row r="604">
      <c r="A604" s="1"/>
      <c r="B604" s="1"/>
      <c r="C604" s="75"/>
      <c r="D604" s="1"/>
      <c r="E604" s="1"/>
      <c r="F604" s="1"/>
      <c r="G604" s="1"/>
      <c r="H604" s="1"/>
      <c r="I604" s="76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01" t="s">
        <v>1047</v>
      </c>
      <c r="V604" s="91" t="s">
        <v>1053</v>
      </c>
      <c r="W604" s="142">
        <v>32.0</v>
      </c>
      <c r="X604" s="142">
        <v>256.0</v>
      </c>
      <c r="Y604" s="142">
        <v>1900.0</v>
      </c>
      <c r="Z604" s="103">
        <v>1.0</v>
      </c>
      <c r="AA604" s="142" t="s">
        <v>308</v>
      </c>
      <c r="AB604" s="105">
        <v>1109.89</v>
      </c>
      <c r="AC604" s="1"/>
      <c r="AD604" s="1"/>
      <c r="AE604" s="1"/>
      <c r="AF604" s="1"/>
      <c r="AG604" s="1"/>
    </row>
    <row r="605">
      <c r="A605" s="1"/>
      <c r="B605" s="1"/>
      <c r="C605" s="75"/>
      <c r="D605" s="1"/>
      <c r="E605" s="1"/>
      <c r="F605" s="1"/>
      <c r="G605" s="1"/>
      <c r="H605" s="1"/>
      <c r="I605" s="76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01" t="s">
        <v>1047</v>
      </c>
      <c r="V605" s="91" t="s">
        <v>1054</v>
      </c>
      <c r="W605" s="142">
        <v>48.0</v>
      </c>
      <c r="X605" s="142">
        <v>384.0</v>
      </c>
      <c r="Y605" s="142">
        <v>1900.0</v>
      </c>
      <c r="Z605" s="103">
        <v>1.5</v>
      </c>
      <c r="AA605" s="142" t="s">
        <v>311</v>
      </c>
      <c r="AB605" s="105">
        <v>1664.84</v>
      </c>
      <c r="AC605" s="1"/>
      <c r="AD605" s="1"/>
      <c r="AE605" s="1"/>
      <c r="AF605" s="1"/>
      <c r="AG605" s="1"/>
    </row>
    <row r="606">
      <c r="A606" s="1"/>
      <c r="B606" s="1"/>
      <c r="C606" s="75"/>
      <c r="D606" s="1"/>
      <c r="E606" s="1"/>
      <c r="F606" s="1"/>
      <c r="G606" s="1"/>
      <c r="H606" s="1"/>
      <c r="I606" s="76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01" t="s">
        <v>1047</v>
      </c>
      <c r="V606" s="91" t="s">
        <v>1055</v>
      </c>
      <c r="W606" s="142">
        <v>64.0</v>
      </c>
      <c r="X606" s="142">
        <v>512.0</v>
      </c>
      <c r="Y606" s="142">
        <v>1900.0</v>
      </c>
      <c r="Z606" s="103">
        <v>2.0</v>
      </c>
      <c r="AA606" s="142" t="s">
        <v>208</v>
      </c>
      <c r="AB606" s="105">
        <v>2219.78</v>
      </c>
      <c r="AC606" s="1"/>
      <c r="AD606" s="1"/>
      <c r="AE606" s="1"/>
      <c r="AF606" s="1"/>
      <c r="AG606" s="1"/>
    </row>
    <row r="607">
      <c r="A607" s="1"/>
      <c r="B607" s="1"/>
      <c r="C607" s="75"/>
      <c r="D607" s="1"/>
      <c r="E607" s="1"/>
      <c r="F607" s="1"/>
      <c r="G607" s="1"/>
      <c r="H607" s="1"/>
      <c r="I607" s="76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01" t="s">
        <v>1047</v>
      </c>
      <c r="V607" s="91" t="s">
        <v>1056</v>
      </c>
      <c r="W607" s="142">
        <v>96.0</v>
      </c>
      <c r="X607" s="142">
        <v>768.0</v>
      </c>
      <c r="Y607" s="142">
        <v>1900.0</v>
      </c>
      <c r="Z607" s="103">
        <v>3.0</v>
      </c>
      <c r="AA607" s="142" t="s">
        <v>315</v>
      </c>
      <c r="AB607" s="105">
        <v>3329.68</v>
      </c>
      <c r="AC607" s="1"/>
      <c r="AD607" s="1"/>
      <c r="AE607" s="1"/>
      <c r="AF607" s="1"/>
      <c r="AG607" s="1"/>
    </row>
    <row r="608">
      <c r="A608" s="1"/>
      <c r="B608" s="1"/>
      <c r="C608" s="75"/>
      <c r="D608" s="1"/>
      <c r="E608" s="1"/>
      <c r="F608" s="1"/>
      <c r="G608" s="1"/>
      <c r="H608" s="1"/>
      <c r="I608" s="76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01" t="s">
        <v>1047</v>
      </c>
      <c r="V608" s="91" t="s">
        <v>1057</v>
      </c>
      <c r="W608" s="142">
        <v>128.0</v>
      </c>
      <c r="X608" s="142">
        <v>1024.0</v>
      </c>
      <c r="Y608" s="142">
        <v>1900.0</v>
      </c>
      <c r="Z608" s="103">
        <v>4.0</v>
      </c>
      <c r="AA608" s="142" t="s">
        <v>294</v>
      </c>
      <c r="AB608" s="105">
        <v>4439.57</v>
      </c>
      <c r="AC608" s="1"/>
      <c r="AD608" s="1"/>
      <c r="AE608" s="1"/>
      <c r="AF608" s="1"/>
      <c r="AG608" s="1"/>
    </row>
    <row r="609">
      <c r="A609" s="1"/>
      <c r="B609" s="1"/>
      <c r="C609" s="75"/>
      <c r="D609" s="1"/>
      <c r="E609" s="1"/>
      <c r="F609" s="1"/>
      <c r="G609" s="1"/>
      <c r="H609" s="1"/>
      <c r="I609" s="76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01" t="s">
        <v>1058</v>
      </c>
      <c r="V609" s="91" t="s">
        <v>1059</v>
      </c>
      <c r="W609" s="142">
        <v>2.0</v>
      </c>
      <c r="X609" s="142">
        <v>16.0</v>
      </c>
      <c r="Y609" s="142">
        <v>1900.0</v>
      </c>
      <c r="Z609" s="103">
        <f t="shared" ref="Z609:Z611" si="18">Z610/2</f>
        <v>0.0625</v>
      </c>
      <c r="AA609" s="142" t="s">
        <v>284</v>
      </c>
      <c r="AB609" s="105">
        <v>89.86</v>
      </c>
      <c r="AC609" s="1"/>
      <c r="AD609" s="1"/>
      <c r="AE609" s="1"/>
      <c r="AF609" s="1"/>
      <c r="AG609" s="1"/>
    </row>
    <row r="610">
      <c r="A610" s="1"/>
      <c r="B610" s="1"/>
      <c r="C610" s="75"/>
      <c r="D610" s="1"/>
      <c r="E610" s="1"/>
      <c r="F610" s="1"/>
      <c r="G610" s="1"/>
      <c r="H610" s="1"/>
      <c r="I610" s="76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01" t="s">
        <v>1058</v>
      </c>
      <c r="V610" s="91" t="s">
        <v>1060</v>
      </c>
      <c r="W610" s="142">
        <v>4.0</v>
      </c>
      <c r="X610" s="142">
        <v>32.0</v>
      </c>
      <c r="Y610" s="142">
        <v>1900.0</v>
      </c>
      <c r="Z610" s="103">
        <f t="shared" si="18"/>
        <v>0.125</v>
      </c>
      <c r="AA610" s="142" t="s">
        <v>408</v>
      </c>
      <c r="AB610" s="105">
        <v>179.72</v>
      </c>
      <c r="AC610" s="1"/>
      <c r="AD610" s="1"/>
      <c r="AE610" s="1"/>
      <c r="AF610" s="1"/>
      <c r="AG610" s="1"/>
    </row>
    <row r="611">
      <c r="A611" s="1"/>
      <c r="B611" s="1"/>
      <c r="C611" s="75"/>
      <c r="D611" s="1"/>
      <c r="E611" s="1"/>
      <c r="F611" s="1"/>
      <c r="G611" s="1"/>
      <c r="H611" s="1"/>
      <c r="I611" s="76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01" t="s">
        <v>1058</v>
      </c>
      <c r="V611" s="91" t="s">
        <v>1061</v>
      </c>
      <c r="W611" s="142">
        <v>8.0</v>
      </c>
      <c r="X611" s="142">
        <v>64.0</v>
      </c>
      <c r="Y611" s="142">
        <v>1900.0</v>
      </c>
      <c r="Z611" s="103">
        <f t="shared" si="18"/>
        <v>0.25</v>
      </c>
      <c r="AA611" s="142" t="s">
        <v>410</v>
      </c>
      <c r="AB611" s="105">
        <v>359.44</v>
      </c>
      <c r="AC611" s="1"/>
      <c r="AD611" s="1"/>
      <c r="AE611" s="1"/>
      <c r="AF611" s="1"/>
      <c r="AG611" s="1"/>
    </row>
    <row r="612">
      <c r="A612" s="1"/>
      <c r="B612" s="1"/>
      <c r="C612" s="75"/>
      <c r="D612" s="1"/>
      <c r="E612" s="1"/>
      <c r="F612" s="1"/>
      <c r="G612" s="1"/>
      <c r="H612" s="1"/>
      <c r="I612" s="76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01" t="s">
        <v>1062</v>
      </c>
      <c r="V612" s="91" t="s">
        <v>1063</v>
      </c>
      <c r="W612" s="142">
        <v>16.0</v>
      </c>
      <c r="X612" s="142">
        <v>128.0</v>
      </c>
      <c r="Y612" s="142">
        <v>1900.0</v>
      </c>
      <c r="Z612" s="103">
        <v>0.5</v>
      </c>
      <c r="AA612" s="142" t="s">
        <v>413</v>
      </c>
      <c r="AB612" s="105">
        <v>718.88</v>
      </c>
      <c r="AC612" s="1"/>
      <c r="AD612" s="1"/>
      <c r="AE612" s="1"/>
      <c r="AF612" s="1"/>
      <c r="AG612" s="1"/>
    </row>
    <row r="613">
      <c r="A613" s="1"/>
      <c r="B613" s="1"/>
      <c r="C613" s="75"/>
      <c r="D613" s="1"/>
      <c r="E613" s="1"/>
      <c r="F613" s="1"/>
      <c r="G613" s="1"/>
      <c r="H613" s="1"/>
      <c r="I613" s="76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01" t="s">
        <v>1058</v>
      </c>
      <c r="V613" s="91" t="s">
        <v>1064</v>
      </c>
      <c r="W613" s="142">
        <v>32.0</v>
      </c>
      <c r="X613" s="142">
        <v>256.0</v>
      </c>
      <c r="Y613" s="142">
        <v>1900.0</v>
      </c>
      <c r="Z613" s="103">
        <v>1.0</v>
      </c>
      <c r="AA613" s="142" t="s">
        <v>294</v>
      </c>
      <c r="AB613" s="105">
        <v>1437.76</v>
      </c>
      <c r="AC613" s="1"/>
      <c r="AD613" s="1"/>
      <c r="AE613" s="1"/>
      <c r="AF613" s="1"/>
      <c r="AG613" s="1"/>
    </row>
    <row r="614">
      <c r="A614" s="1"/>
      <c r="B614" s="1"/>
      <c r="C614" s="75"/>
      <c r="D614" s="1"/>
      <c r="E614" s="1"/>
      <c r="F614" s="1"/>
      <c r="G614" s="1"/>
      <c r="H614" s="1"/>
      <c r="I614" s="76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01" t="s">
        <v>1058</v>
      </c>
      <c r="V614" s="91" t="s">
        <v>1065</v>
      </c>
      <c r="W614" s="142">
        <v>48.0</v>
      </c>
      <c r="X614" s="142">
        <v>384.0</v>
      </c>
      <c r="Y614" s="142">
        <v>1900.0</v>
      </c>
      <c r="Z614" s="103">
        <v>1.5</v>
      </c>
      <c r="AA614" s="142" t="s">
        <v>364</v>
      </c>
      <c r="AB614" s="105">
        <v>2156.64</v>
      </c>
      <c r="AC614" s="1"/>
      <c r="AD614" s="1"/>
      <c r="AE614" s="1"/>
      <c r="AF614" s="1"/>
      <c r="AG614" s="1"/>
    </row>
    <row r="615">
      <c r="A615" s="1"/>
      <c r="B615" s="1"/>
      <c r="C615" s="75"/>
      <c r="D615" s="1"/>
      <c r="E615" s="1"/>
      <c r="F615" s="1"/>
      <c r="G615" s="1"/>
      <c r="H615" s="1"/>
      <c r="I615" s="76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01" t="s">
        <v>1058</v>
      </c>
      <c r="V615" s="91" t="s">
        <v>1066</v>
      </c>
      <c r="W615" s="142">
        <v>64.0</v>
      </c>
      <c r="X615" s="142">
        <v>512.0</v>
      </c>
      <c r="Y615" s="142">
        <v>1900.0</v>
      </c>
      <c r="Z615" s="103">
        <v>2.0</v>
      </c>
      <c r="AA615" s="142" t="s">
        <v>296</v>
      </c>
      <c r="AB615" s="105">
        <v>2875.51</v>
      </c>
      <c r="AC615" s="1"/>
      <c r="AD615" s="1"/>
      <c r="AE615" s="1"/>
      <c r="AF615" s="1"/>
      <c r="AG615" s="1"/>
    </row>
    <row r="616">
      <c r="A616" s="1"/>
      <c r="B616" s="1"/>
      <c r="C616" s="75"/>
      <c r="D616" s="1"/>
      <c r="E616" s="1"/>
      <c r="F616" s="1"/>
      <c r="G616" s="1"/>
      <c r="H616" s="1"/>
      <c r="I616" s="76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01" t="s">
        <v>1058</v>
      </c>
      <c r="V616" s="91" t="s">
        <v>1067</v>
      </c>
      <c r="W616" s="142">
        <v>96.0</v>
      </c>
      <c r="X616" s="142">
        <v>768.0</v>
      </c>
      <c r="Y616" s="142">
        <v>1900.0</v>
      </c>
      <c r="Z616" s="103">
        <v>3.0</v>
      </c>
      <c r="AA616" s="142" t="s">
        <v>419</v>
      </c>
      <c r="AB616" s="105">
        <v>4313.27</v>
      </c>
      <c r="AC616" s="1"/>
      <c r="AD616" s="1"/>
      <c r="AE616" s="1"/>
      <c r="AF616" s="1"/>
      <c r="AG616" s="1"/>
    </row>
    <row r="617">
      <c r="A617" s="1"/>
      <c r="B617" s="1"/>
      <c r="C617" s="75"/>
      <c r="D617" s="1"/>
      <c r="E617" s="1"/>
      <c r="F617" s="1"/>
      <c r="G617" s="1"/>
      <c r="H617" s="1"/>
      <c r="I617" s="76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01" t="s">
        <v>1058</v>
      </c>
      <c r="V617" s="91" t="s">
        <v>1068</v>
      </c>
      <c r="W617" s="142">
        <v>128.0</v>
      </c>
      <c r="X617" s="142">
        <v>1024.0</v>
      </c>
      <c r="Y617" s="142">
        <v>1900.0</v>
      </c>
      <c r="Z617" s="103">
        <v>4.0</v>
      </c>
      <c r="AA617" s="142" t="s">
        <v>421</v>
      </c>
      <c r="AB617" s="105">
        <v>5751.03</v>
      </c>
      <c r="AC617" s="1"/>
      <c r="AD617" s="1"/>
      <c r="AE617" s="1"/>
      <c r="AF617" s="1"/>
      <c r="AG617" s="1"/>
    </row>
    <row r="618">
      <c r="A618" s="1"/>
      <c r="B618" s="1"/>
      <c r="C618" s="75"/>
      <c r="D618" s="1"/>
      <c r="E618" s="1"/>
      <c r="F618" s="1"/>
      <c r="G618" s="1"/>
      <c r="H618" s="1"/>
      <c r="I618" s="76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01" t="s">
        <v>1069</v>
      </c>
      <c r="V618" s="91" t="s">
        <v>1070</v>
      </c>
      <c r="W618" s="142">
        <v>2.0</v>
      </c>
      <c r="X618" s="142">
        <v>16.0</v>
      </c>
      <c r="Y618" s="142">
        <v>0.0</v>
      </c>
      <c r="Z618" s="103">
        <v>0.0</v>
      </c>
      <c r="AA618" s="142" t="s">
        <v>284</v>
      </c>
      <c r="AB618" s="105">
        <v>80.18</v>
      </c>
      <c r="AC618" s="1"/>
      <c r="AD618" s="1"/>
      <c r="AE618" s="1"/>
      <c r="AF618" s="1"/>
      <c r="AG618" s="1"/>
    </row>
    <row r="619">
      <c r="A619" s="1"/>
      <c r="B619" s="1"/>
      <c r="C619" s="75"/>
      <c r="D619" s="1"/>
      <c r="E619" s="1"/>
      <c r="F619" s="1"/>
      <c r="G619" s="1"/>
      <c r="H619" s="1"/>
      <c r="I619" s="76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01" t="s">
        <v>1071</v>
      </c>
      <c r="V619" s="91" t="s">
        <v>1072</v>
      </c>
      <c r="W619" s="142">
        <v>4.0</v>
      </c>
      <c r="X619" s="142">
        <v>32.0</v>
      </c>
      <c r="Y619" s="142">
        <v>0.0</v>
      </c>
      <c r="Z619" s="103">
        <v>0.0</v>
      </c>
      <c r="AA619" s="142" t="s">
        <v>408</v>
      </c>
      <c r="AB619" s="105">
        <v>160.35</v>
      </c>
      <c r="AC619" s="1"/>
      <c r="AD619" s="1"/>
      <c r="AE619" s="1"/>
      <c r="AF619" s="1"/>
      <c r="AG619" s="1"/>
    </row>
    <row r="620">
      <c r="A620" s="1"/>
      <c r="B620" s="1"/>
      <c r="C620" s="75"/>
      <c r="D620" s="1"/>
      <c r="E620" s="1"/>
      <c r="F620" s="1"/>
      <c r="G620" s="1"/>
      <c r="H620" s="1"/>
      <c r="I620" s="76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01" t="s">
        <v>1071</v>
      </c>
      <c r="V620" s="91" t="s">
        <v>1073</v>
      </c>
      <c r="W620" s="142">
        <v>8.0</v>
      </c>
      <c r="X620" s="142">
        <v>64.0</v>
      </c>
      <c r="Y620" s="142">
        <v>0.0</v>
      </c>
      <c r="Z620" s="103">
        <v>0.0</v>
      </c>
      <c r="AA620" s="142" t="s">
        <v>410</v>
      </c>
      <c r="AB620" s="105">
        <v>320.7</v>
      </c>
      <c r="AC620" s="1"/>
      <c r="AD620" s="1"/>
      <c r="AE620" s="1"/>
      <c r="AF620" s="1"/>
      <c r="AG620" s="1"/>
    </row>
    <row r="621">
      <c r="A621" s="1"/>
      <c r="B621" s="1"/>
      <c r="C621" s="75"/>
      <c r="D621" s="1"/>
      <c r="E621" s="1"/>
      <c r="F621" s="1"/>
      <c r="G621" s="1"/>
      <c r="H621" s="1"/>
      <c r="I621" s="76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01" t="s">
        <v>1071</v>
      </c>
      <c r="V621" s="91" t="s">
        <v>1074</v>
      </c>
      <c r="W621" s="142">
        <v>16.0</v>
      </c>
      <c r="X621" s="142">
        <v>128.0</v>
      </c>
      <c r="Y621" s="142">
        <v>0.0</v>
      </c>
      <c r="Z621" s="103">
        <v>0.0</v>
      </c>
      <c r="AA621" s="142" t="s">
        <v>413</v>
      </c>
      <c r="AB621" s="105">
        <v>641.39</v>
      </c>
      <c r="AC621" s="1"/>
      <c r="AD621" s="1"/>
      <c r="AE621" s="1"/>
      <c r="AF621" s="1"/>
      <c r="AG621" s="1"/>
    </row>
    <row r="622">
      <c r="A622" s="1"/>
      <c r="B622" s="1"/>
      <c r="C622" s="75"/>
      <c r="D622" s="1"/>
      <c r="E622" s="1"/>
      <c r="F622" s="1"/>
      <c r="G622" s="1"/>
      <c r="H622" s="1"/>
      <c r="I622" s="76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01" t="s">
        <v>1071</v>
      </c>
      <c r="V622" s="91" t="s">
        <v>1075</v>
      </c>
      <c r="W622" s="142">
        <v>32.0</v>
      </c>
      <c r="X622" s="142">
        <v>256.0</v>
      </c>
      <c r="Y622" s="142">
        <v>0.0</v>
      </c>
      <c r="Z622" s="103">
        <v>0.0</v>
      </c>
      <c r="AA622" s="142" t="s">
        <v>294</v>
      </c>
      <c r="AB622" s="105">
        <v>1282.79</v>
      </c>
      <c r="AC622" s="1"/>
      <c r="AD622" s="1"/>
      <c r="AE622" s="1"/>
      <c r="AF622" s="1"/>
      <c r="AG622" s="1"/>
    </row>
    <row r="623">
      <c r="A623" s="1"/>
      <c r="B623" s="1"/>
      <c r="C623" s="75"/>
      <c r="D623" s="1"/>
      <c r="E623" s="1"/>
      <c r="F623" s="1"/>
      <c r="G623" s="1"/>
      <c r="H623" s="1"/>
      <c r="I623" s="76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01" t="s">
        <v>1071</v>
      </c>
      <c r="V623" s="91" t="s">
        <v>1076</v>
      </c>
      <c r="W623" s="142">
        <v>48.0</v>
      </c>
      <c r="X623" s="142">
        <v>384.0</v>
      </c>
      <c r="Y623" s="142">
        <v>0.0</v>
      </c>
      <c r="Z623" s="103">
        <v>0.0</v>
      </c>
      <c r="AA623" s="142" t="s">
        <v>364</v>
      </c>
      <c r="AB623" s="105">
        <v>1924.19</v>
      </c>
      <c r="AC623" s="1"/>
      <c r="AD623" s="1"/>
      <c r="AE623" s="1"/>
      <c r="AF623" s="1"/>
      <c r="AG623" s="1"/>
    </row>
    <row r="624">
      <c r="A624" s="1"/>
      <c r="B624" s="1"/>
      <c r="C624" s="75"/>
      <c r="D624" s="1"/>
      <c r="E624" s="1"/>
      <c r="F624" s="1"/>
      <c r="G624" s="1"/>
      <c r="H624" s="1"/>
      <c r="I624" s="76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01" t="s">
        <v>1071</v>
      </c>
      <c r="V624" s="91" t="s">
        <v>1077</v>
      </c>
      <c r="W624" s="142">
        <v>64.0</v>
      </c>
      <c r="X624" s="142">
        <v>512.0</v>
      </c>
      <c r="Y624" s="142">
        <v>0.0</v>
      </c>
      <c r="Z624" s="103">
        <v>0.0</v>
      </c>
      <c r="AA624" s="142" t="s">
        <v>296</v>
      </c>
      <c r="AB624" s="105">
        <v>2565.58</v>
      </c>
      <c r="AC624" s="1"/>
      <c r="AD624" s="1"/>
      <c r="AE624" s="1"/>
      <c r="AF624" s="1"/>
      <c r="AG624" s="1"/>
    </row>
    <row r="625">
      <c r="A625" s="1"/>
      <c r="B625" s="1"/>
      <c r="C625" s="75"/>
      <c r="D625" s="1"/>
      <c r="E625" s="1"/>
      <c r="F625" s="1"/>
      <c r="G625" s="1"/>
      <c r="H625" s="1"/>
      <c r="I625" s="76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01" t="s">
        <v>1071</v>
      </c>
      <c r="V625" s="91" t="s">
        <v>1078</v>
      </c>
      <c r="W625" s="142">
        <v>96.0</v>
      </c>
      <c r="X625" s="142">
        <v>768.0</v>
      </c>
      <c r="Y625" s="142">
        <v>0.0</v>
      </c>
      <c r="Z625" s="103">
        <v>0.0</v>
      </c>
      <c r="AA625" s="142" t="s">
        <v>419</v>
      </c>
      <c r="AB625" s="105">
        <v>3848.37</v>
      </c>
      <c r="AC625" s="1"/>
      <c r="AD625" s="1"/>
      <c r="AE625" s="1"/>
      <c r="AF625" s="1"/>
      <c r="AG625" s="1"/>
    </row>
    <row r="626">
      <c r="A626" s="1"/>
      <c r="B626" s="1"/>
      <c r="C626" s="75"/>
      <c r="D626" s="1"/>
      <c r="E626" s="1"/>
      <c r="F626" s="1"/>
      <c r="G626" s="1"/>
      <c r="H626" s="1"/>
      <c r="I626" s="76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01" t="s">
        <v>1071</v>
      </c>
      <c r="V626" s="91" t="s">
        <v>1079</v>
      </c>
      <c r="W626" s="142">
        <v>128.0</v>
      </c>
      <c r="X626" s="142">
        <v>1024.0</v>
      </c>
      <c r="Y626" s="142">
        <v>0.0</v>
      </c>
      <c r="Z626" s="103">
        <v>0.0</v>
      </c>
      <c r="AA626" s="142" t="s">
        <v>421</v>
      </c>
      <c r="AB626" s="105">
        <v>5131.16</v>
      </c>
      <c r="AC626" s="1"/>
      <c r="AD626" s="1"/>
      <c r="AE626" s="1"/>
      <c r="AF626" s="1"/>
      <c r="AG626" s="1"/>
    </row>
    <row r="627">
      <c r="A627" s="1"/>
      <c r="B627" s="1"/>
      <c r="C627" s="75"/>
      <c r="D627" s="1"/>
      <c r="E627" s="1"/>
      <c r="F627" s="1"/>
      <c r="G627" s="1"/>
      <c r="H627" s="1"/>
      <c r="I627" s="76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01" t="s">
        <v>1080</v>
      </c>
      <c r="V627" s="91" t="s">
        <v>1081</v>
      </c>
      <c r="W627" s="142">
        <v>1.0</v>
      </c>
      <c r="X627" s="142">
        <v>8.0</v>
      </c>
      <c r="Y627" s="142">
        <v>0.0</v>
      </c>
      <c r="Z627" s="103">
        <v>0.0</v>
      </c>
      <c r="AA627" s="142" t="s">
        <v>300</v>
      </c>
      <c r="AB627" s="105">
        <v>36.73</v>
      </c>
      <c r="AC627" s="1"/>
      <c r="AD627" s="1"/>
      <c r="AE627" s="1"/>
      <c r="AF627" s="1"/>
      <c r="AG627" s="1"/>
    </row>
    <row r="628">
      <c r="A628" s="1"/>
      <c r="B628" s="1"/>
      <c r="C628" s="75"/>
      <c r="D628" s="1"/>
      <c r="E628" s="1"/>
      <c r="F628" s="1"/>
      <c r="G628" s="1"/>
      <c r="H628" s="1"/>
      <c r="I628" s="76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01" t="s">
        <v>1082</v>
      </c>
      <c r="V628" s="91" t="s">
        <v>1083</v>
      </c>
      <c r="W628" s="142">
        <v>2.0</v>
      </c>
      <c r="X628" s="142">
        <v>16.0</v>
      </c>
      <c r="Y628" s="142">
        <v>0.0</v>
      </c>
      <c r="Z628" s="103">
        <v>0.0</v>
      </c>
      <c r="AA628" s="142" t="s">
        <v>300</v>
      </c>
      <c r="AB628" s="105">
        <v>73.47</v>
      </c>
      <c r="AC628" s="1"/>
      <c r="AD628" s="1"/>
      <c r="AE628" s="1"/>
      <c r="AF628" s="1"/>
      <c r="AG628" s="1"/>
    </row>
    <row r="629">
      <c r="A629" s="1"/>
      <c r="B629" s="1"/>
      <c r="C629" s="75"/>
      <c r="D629" s="1"/>
      <c r="E629" s="1"/>
      <c r="F629" s="1"/>
      <c r="G629" s="1"/>
      <c r="H629" s="1"/>
      <c r="I629" s="76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01" t="s">
        <v>1082</v>
      </c>
      <c r="V629" s="91" t="s">
        <v>1084</v>
      </c>
      <c r="W629" s="142">
        <v>4.0</v>
      </c>
      <c r="X629" s="142">
        <v>32.0</v>
      </c>
      <c r="Y629" s="142">
        <v>0.0</v>
      </c>
      <c r="Z629" s="103">
        <v>0.0</v>
      </c>
      <c r="AA629" s="142" t="s">
        <v>300</v>
      </c>
      <c r="AB629" s="105">
        <v>146.94</v>
      </c>
      <c r="AC629" s="1"/>
      <c r="AD629" s="1"/>
      <c r="AE629" s="1"/>
      <c r="AF629" s="1"/>
      <c r="AG629" s="1"/>
    </row>
    <row r="630">
      <c r="A630" s="1"/>
      <c r="B630" s="1"/>
      <c r="C630" s="75"/>
      <c r="D630" s="1"/>
      <c r="E630" s="1"/>
      <c r="F630" s="1"/>
      <c r="G630" s="1"/>
      <c r="H630" s="1"/>
      <c r="I630" s="76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01" t="s">
        <v>1082</v>
      </c>
      <c r="V630" s="91" t="s">
        <v>1085</v>
      </c>
      <c r="W630" s="142">
        <v>8.0</v>
      </c>
      <c r="X630" s="142">
        <v>64.0</v>
      </c>
      <c r="Y630" s="142">
        <v>0.0</v>
      </c>
      <c r="Z630" s="103">
        <v>0.0</v>
      </c>
      <c r="AA630" s="142" t="s">
        <v>300</v>
      </c>
      <c r="AB630" s="105">
        <v>293.89</v>
      </c>
      <c r="AC630" s="1"/>
      <c r="AD630" s="1"/>
      <c r="AE630" s="1"/>
      <c r="AF630" s="1"/>
      <c r="AG630" s="1"/>
    </row>
    <row r="631">
      <c r="A631" s="1"/>
      <c r="B631" s="1"/>
      <c r="C631" s="75"/>
      <c r="D631" s="1"/>
      <c r="E631" s="1"/>
      <c r="F631" s="1"/>
      <c r="G631" s="1"/>
      <c r="H631" s="1"/>
      <c r="I631" s="76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01" t="s">
        <v>1082</v>
      </c>
      <c r="V631" s="91" t="s">
        <v>1086</v>
      </c>
      <c r="W631" s="142">
        <v>16.0</v>
      </c>
      <c r="X631" s="142">
        <v>128.0</v>
      </c>
      <c r="Y631" s="142">
        <v>0.0</v>
      </c>
      <c r="Z631" s="103">
        <v>0.0</v>
      </c>
      <c r="AA631" s="142" t="s">
        <v>300</v>
      </c>
      <c r="AB631" s="105">
        <v>587.78</v>
      </c>
      <c r="AC631" s="1"/>
      <c r="AD631" s="1"/>
      <c r="AE631" s="1"/>
      <c r="AF631" s="1"/>
      <c r="AG631" s="1"/>
    </row>
    <row r="632">
      <c r="A632" s="1"/>
      <c r="B632" s="1"/>
      <c r="C632" s="75"/>
      <c r="D632" s="1"/>
      <c r="E632" s="1"/>
      <c r="F632" s="1"/>
      <c r="G632" s="1"/>
      <c r="H632" s="1"/>
      <c r="I632" s="76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01" t="s">
        <v>1082</v>
      </c>
      <c r="V632" s="91" t="s">
        <v>1087</v>
      </c>
      <c r="W632" s="142">
        <v>32.0</v>
      </c>
      <c r="X632" s="142">
        <v>256.0</v>
      </c>
      <c r="Y632" s="142">
        <v>0.0</v>
      </c>
      <c r="Z632" s="103">
        <v>0.0</v>
      </c>
      <c r="AA632" s="142" t="s">
        <v>308</v>
      </c>
      <c r="AB632" s="105">
        <v>1175.56</v>
      </c>
      <c r="AC632" s="1"/>
      <c r="AD632" s="1"/>
      <c r="AE632" s="1"/>
      <c r="AF632" s="1"/>
      <c r="AG632" s="1"/>
    </row>
    <row r="633">
      <c r="A633" s="1"/>
      <c r="B633" s="1"/>
      <c r="C633" s="75"/>
      <c r="D633" s="1"/>
      <c r="E633" s="1"/>
      <c r="F633" s="1"/>
      <c r="G633" s="1"/>
      <c r="H633" s="1"/>
      <c r="I633" s="76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01" t="s">
        <v>1082</v>
      </c>
      <c r="V633" s="91" t="s">
        <v>1088</v>
      </c>
      <c r="W633" s="142">
        <v>48.0</v>
      </c>
      <c r="X633" s="142">
        <v>384.0</v>
      </c>
      <c r="Y633" s="142">
        <v>0.0</v>
      </c>
      <c r="Z633" s="103">
        <v>0.0</v>
      </c>
      <c r="AA633" s="142" t="s">
        <v>311</v>
      </c>
      <c r="AB633" s="105">
        <v>1763.34</v>
      </c>
      <c r="AC633" s="1"/>
      <c r="AD633" s="1"/>
      <c r="AE633" s="1"/>
      <c r="AF633" s="1"/>
      <c r="AG633" s="1"/>
    </row>
    <row r="634">
      <c r="A634" s="1"/>
      <c r="B634" s="1"/>
      <c r="C634" s="75"/>
      <c r="D634" s="1"/>
      <c r="E634" s="1"/>
      <c r="F634" s="1"/>
      <c r="G634" s="1"/>
      <c r="H634" s="1"/>
      <c r="I634" s="76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01" t="s">
        <v>1082</v>
      </c>
      <c r="V634" s="91" t="s">
        <v>1089</v>
      </c>
      <c r="W634" s="142">
        <v>64.0</v>
      </c>
      <c r="X634" s="142">
        <v>512.0</v>
      </c>
      <c r="Y634" s="142">
        <v>0.0</v>
      </c>
      <c r="Z634" s="103">
        <v>0.0</v>
      </c>
      <c r="AA634" s="142" t="s">
        <v>208</v>
      </c>
      <c r="AB634" s="105">
        <v>2351.12</v>
      </c>
      <c r="AC634" s="1"/>
      <c r="AD634" s="1"/>
      <c r="AE634" s="1"/>
      <c r="AF634" s="1"/>
      <c r="AG634" s="1"/>
    </row>
    <row r="635">
      <c r="A635" s="1"/>
      <c r="B635" s="1"/>
      <c r="C635" s="75"/>
      <c r="D635" s="1"/>
      <c r="E635" s="1"/>
      <c r="F635" s="1"/>
      <c r="G635" s="1"/>
      <c r="H635" s="1"/>
      <c r="I635" s="76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01" t="s">
        <v>1082</v>
      </c>
      <c r="V635" s="91" t="s">
        <v>1090</v>
      </c>
      <c r="W635" s="142">
        <v>96.0</v>
      </c>
      <c r="X635" s="142">
        <v>768.0</v>
      </c>
      <c r="Y635" s="142">
        <v>0.0</v>
      </c>
      <c r="Z635" s="103">
        <v>0.0</v>
      </c>
      <c r="AA635" s="142" t="s">
        <v>315</v>
      </c>
      <c r="AB635" s="105">
        <v>3526.68</v>
      </c>
      <c r="AC635" s="1"/>
      <c r="AD635" s="1"/>
      <c r="AE635" s="1"/>
      <c r="AF635" s="1"/>
      <c r="AG635" s="1"/>
    </row>
    <row r="636">
      <c r="A636" s="1"/>
      <c r="B636" s="1"/>
      <c r="C636" s="75"/>
      <c r="D636" s="1"/>
      <c r="E636" s="1"/>
      <c r="F636" s="1"/>
      <c r="G636" s="1"/>
      <c r="H636" s="1"/>
      <c r="I636" s="76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01" t="s">
        <v>1082</v>
      </c>
      <c r="V636" s="91" t="s">
        <v>1091</v>
      </c>
      <c r="W636" s="142">
        <v>128.0</v>
      </c>
      <c r="X636" s="142">
        <v>1024.0</v>
      </c>
      <c r="Y636" s="142">
        <v>0.0</v>
      </c>
      <c r="Z636" s="103">
        <v>0.0</v>
      </c>
      <c r="AA636" s="142" t="s">
        <v>294</v>
      </c>
      <c r="AB636" s="105">
        <v>4702.24</v>
      </c>
      <c r="AC636" s="1"/>
      <c r="AD636" s="1"/>
      <c r="AE636" s="1"/>
      <c r="AF636" s="1"/>
      <c r="AG636" s="1"/>
    </row>
    <row r="637">
      <c r="A637" s="1"/>
      <c r="B637" s="1"/>
      <c r="C637" s="75"/>
      <c r="D637" s="1"/>
      <c r="E637" s="1"/>
      <c r="F637" s="1"/>
      <c r="G637" s="1"/>
      <c r="H637" s="1"/>
      <c r="I637" s="76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01" t="s">
        <v>1082</v>
      </c>
      <c r="V637" s="91" t="s">
        <v>1092</v>
      </c>
      <c r="W637" s="142">
        <v>192.0</v>
      </c>
      <c r="X637" s="142">
        <v>1536.0</v>
      </c>
      <c r="Y637" s="142">
        <v>0.0</v>
      </c>
      <c r="Z637" s="103">
        <v>0.0</v>
      </c>
      <c r="AA637" s="142" t="s">
        <v>294</v>
      </c>
      <c r="AB637" s="105">
        <v>7053.35</v>
      </c>
      <c r="AC637" s="1"/>
      <c r="AD637" s="1"/>
      <c r="AE637" s="1"/>
      <c r="AF637" s="1"/>
      <c r="AG637" s="1"/>
    </row>
    <row r="638">
      <c r="A638" s="1"/>
      <c r="B638" s="1"/>
      <c r="C638" s="75"/>
      <c r="D638" s="1"/>
      <c r="E638" s="1"/>
      <c r="F638" s="1"/>
      <c r="G638" s="1"/>
      <c r="H638" s="1"/>
      <c r="I638" s="76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01" t="s">
        <v>1093</v>
      </c>
      <c r="V638" s="91" t="s">
        <v>1094</v>
      </c>
      <c r="W638" s="142">
        <v>1.0</v>
      </c>
      <c r="X638" s="142">
        <v>8.0</v>
      </c>
      <c r="Y638" s="142">
        <v>0.0</v>
      </c>
      <c r="Z638" s="103">
        <v>0.0</v>
      </c>
      <c r="AA638" s="142" t="s">
        <v>300</v>
      </c>
      <c r="AB638" s="105">
        <v>25.84</v>
      </c>
      <c r="AC638" s="1"/>
      <c r="AD638" s="1"/>
      <c r="AE638" s="1"/>
      <c r="AF638" s="1"/>
      <c r="AG638" s="1"/>
    </row>
    <row r="639">
      <c r="A639" s="1"/>
      <c r="B639" s="1"/>
      <c r="C639" s="75"/>
      <c r="D639" s="1"/>
      <c r="E639" s="1"/>
      <c r="F639" s="1"/>
      <c r="G639" s="1"/>
      <c r="H639" s="1"/>
      <c r="I639" s="76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01" t="s">
        <v>1095</v>
      </c>
      <c r="V639" s="91" t="s">
        <v>1096</v>
      </c>
      <c r="W639" s="142">
        <v>2.0</v>
      </c>
      <c r="X639" s="142">
        <v>16.0</v>
      </c>
      <c r="Y639" s="142">
        <v>0.0</v>
      </c>
      <c r="Z639" s="103">
        <v>0.0</v>
      </c>
      <c r="AA639" s="142" t="s">
        <v>300</v>
      </c>
      <c r="AB639" s="105">
        <v>51.68</v>
      </c>
      <c r="AC639" s="1"/>
      <c r="AD639" s="1"/>
      <c r="AE639" s="1"/>
      <c r="AF639" s="1"/>
      <c r="AG639" s="1"/>
    </row>
    <row r="640">
      <c r="A640" s="1"/>
      <c r="B640" s="1"/>
      <c r="C640" s="75"/>
      <c r="D640" s="1"/>
      <c r="E640" s="1"/>
      <c r="F640" s="1"/>
      <c r="G640" s="1"/>
      <c r="H640" s="1"/>
      <c r="I640" s="76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01" t="s">
        <v>1095</v>
      </c>
      <c r="V640" s="91" t="s">
        <v>1097</v>
      </c>
      <c r="W640" s="142">
        <v>4.0</v>
      </c>
      <c r="X640" s="142">
        <v>32.0</v>
      </c>
      <c r="Y640" s="142">
        <v>0.0</v>
      </c>
      <c r="Z640" s="103">
        <v>0.0</v>
      </c>
      <c r="AA640" s="142" t="s">
        <v>300</v>
      </c>
      <c r="AB640" s="105">
        <v>103.44</v>
      </c>
      <c r="AC640" s="1"/>
      <c r="AD640" s="1"/>
      <c r="AE640" s="1"/>
      <c r="AF640" s="1"/>
      <c r="AG640" s="1"/>
    </row>
    <row r="641">
      <c r="A641" s="1"/>
      <c r="B641" s="1"/>
      <c r="C641" s="75"/>
      <c r="D641" s="1"/>
      <c r="E641" s="1"/>
      <c r="F641" s="1"/>
      <c r="G641" s="1"/>
      <c r="H641" s="1"/>
      <c r="I641" s="76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01" t="s">
        <v>1095</v>
      </c>
      <c r="V641" s="91" t="s">
        <v>1098</v>
      </c>
      <c r="W641" s="142">
        <v>8.0</v>
      </c>
      <c r="X641" s="142">
        <v>64.0</v>
      </c>
      <c r="Y641" s="142">
        <v>0.0</v>
      </c>
      <c r="Z641" s="103">
        <v>0.0</v>
      </c>
      <c r="AA641" s="142" t="s">
        <v>441</v>
      </c>
      <c r="AB641" s="105">
        <v>206.88</v>
      </c>
      <c r="AC641" s="1"/>
      <c r="AD641" s="1"/>
      <c r="AE641" s="1"/>
      <c r="AF641" s="1"/>
      <c r="AG641" s="1"/>
    </row>
    <row r="642">
      <c r="A642" s="1"/>
      <c r="B642" s="1"/>
      <c r="C642" s="75"/>
      <c r="D642" s="1"/>
      <c r="E642" s="1"/>
      <c r="F642" s="1"/>
      <c r="G642" s="1"/>
      <c r="H642" s="1"/>
      <c r="I642" s="76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01" t="s">
        <v>1095</v>
      </c>
      <c r="V642" s="91" t="s">
        <v>1099</v>
      </c>
      <c r="W642" s="142">
        <v>16.0</v>
      </c>
      <c r="X642" s="142">
        <v>128.0</v>
      </c>
      <c r="Y642" s="142">
        <v>0.0</v>
      </c>
      <c r="Z642" s="103">
        <v>0.0</v>
      </c>
      <c r="AA642" s="142" t="s">
        <v>441</v>
      </c>
      <c r="AB642" s="105">
        <v>413.76</v>
      </c>
      <c r="AC642" s="1"/>
      <c r="AD642" s="1"/>
      <c r="AE642" s="1"/>
      <c r="AF642" s="1"/>
      <c r="AG642" s="1"/>
    </row>
    <row r="643">
      <c r="A643" s="1"/>
      <c r="B643" s="1"/>
      <c r="C643" s="75"/>
      <c r="D643" s="1"/>
      <c r="E643" s="1"/>
      <c r="F643" s="1"/>
      <c r="G643" s="1"/>
      <c r="H643" s="1"/>
      <c r="I643" s="76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01" t="s">
        <v>1095</v>
      </c>
      <c r="V643" s="91" t="s">
        <v>1100</v>
      </c>
      <c r="W643" s="142">
        <v>32.0</v>
      </c>
      <c r="X643" s="142">
        <v>256.0</v>
      </c>
      <c r="Y643" s="142">
        <v>0.0</v>
      </c>
      <c r="Z643" s="103">
        <v>0.0</v>
      </c>
      <c r="AA643" s="142" t="s">
        <v>444</v>
      </c>
      <c r="AB643" s="105">
        <v>827.46</v>
      </c>
      <c r="AC643" s="1"/>
      <c r="AD643" s="1"/>
      <c r="AE643" s="1"/>
      <c r="AF643" s="1"/>
      <c r="AG643" s="1"/>
    </row>
    <row r="644">
      <c r="A644" s="1"/>
      <c r="B644" s="1"/>
      <c r="C644" s="75"/>
      <c r="D644" s="1"/>
      <c r="E644" s="1"/>
      <c r="F644" s="1"/>
      <c r="G644" s="1"/>
      <c r="H644" s="1"/>
      <c r="I644" s="76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01" t="s">
        <v>1095</v>
      </c>
      <c r="V644" s="91" t="s">
        <v>1101</v>
      </c>
      <c r="W644" s="142">
        <v>48.0</v>
      </c>
      <c r="X644" s="142">
        <v>384.0</v>
      </c>
      <c r="Y644" s="142">
        <v>0.0</v>
      </c>
      <c r="Z644" s="103">
        <v>0.0</v>
      </c>
      <c r="AA644" s="142" t="s">
        <v>446</v>
      </c>
      <c r="AB644" s="105">
        <v>1241.22</v>
      </c>
      <c r="AC644" s="1"/>
      <c r="AD644" s="1"/>
      <c r="AE644" s="1"/>
      <c r="AF644" s="1"/>
      <c r="AG644" s="1"/>
    </row>
    <row r="645">
      <c r="A645" s="1"/>
      <c r="B645" s="1"/>
      <c r="C645" s="75"/>
      <c r="D645" s="1"/>
      <c r="E645" s="1"/>
      <c r="F645" s="1"/>
      <c r="G645" s="1"/>
      <c r="H645" s="1"/>
      <c r="I645" s="76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01" t="s">
        <v>1095</v>
      </c>
      <c r="V645" s="91" t="s">
        <v>1102</v>
      </c>
      <c r="W645" s="142">
        <v>64.0</v>
      </c>
      <c r="X645" s="142">
        <v>512.0</v>
      </c>
      <c r="Y645" s="142">
        <v>0.0</v>
      </c>
      <c r="Z645" s="103">
        <v>0.0</v>
      </c>
      <c r="AA645" s="142" t="s">
        <v>448</v>
      </c>
      <c r="AB645" s="105">
        <v>1654.98</v>
      </c>
      <c r="AC645" s="1"/>
      <c r="AD645" s="1"/>
      <c r="AE645" s="1"/>
      <c r="AF645" s="1"/>
      <c r="AG645" s="1"/>
    </row>
    <row r="646">
      <c r="A646" s="1"/>
      <c r="B646" s="1"/>
      <c r="C646" s="75"/>
      <c r="D646" s="1"/>
      <c r="E646" s="1"/>
      <c r="F646" s="1"/>
      <c r="G646" s="1"/>
      <c r="H646" s="1"/>
      <c r="I646" s="76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01" t="s">
        <v>1103</v>
      </c>
      <c r="V646" s="91" t="s">
        <v>1104</v>
      </c>
      <c r="W646" s="142">
        <v>1.0</v>
      </c>
      <c r="X646" s="142">
        <v>8.0</v>
      </c>
      <c r="Y646" s="142">
        <v>1900.0</v>
      </c>
      <c r="Z646" s="103">
        <f t="shared" ref="Z646:Z649" si="19">Z647/2</f>
        <v>0.03125</v>
      </c>
      <c r="AA646" s="142" t="s">
        <v>300</v>
      </c>
      <c r="AB646" s="105">
        <v>31.24</v>
      </c>
      <c r="AC646" s="1"/>
      <c r="AD646" s="1"/>
      <c r="AE646" s="1"/>
      <c r="AF646" s="1"/>
      <c r="AG646" s="1"/>
    </row>
    <row r="647">
      <c r="A647" s="1"/>
      <c r="B647" s="1"/>
      <c r="C647" s="75"/>
      <c r="D647" s="1"/>
      <c r="E647" s="1"/>
      <c r="F647" s="1"/>
      <c r="G647" s="1"/>
      <c r="H647" s="1"/>
      <c r="I647" s="76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01" t="s">
        <v>1103</v>
      </c>
      <c r="V647" s="91" t="s">
        <v>1105</v>
      </c>
      <c r="W647" s="142">
        <v>2.0</v>
      </c>
      <c r="X647" s="142">
        <v>16.0</v>
      </c>
      <c r="Y647" s="142">
        <v>1900.0</v>
      </c>
      <c r="Z647" s="103">
        <f t="shared" si="19"/>
        <v>0.0625</v>
      </c>
      <c r="AA647" s="142" t="s">
        <v>300</v>
      </c>
      <c r="AB647" s="105">
        <v>62.42</v>
      </c>
      <c r="AC647" s="1"/>
      <c r="AD647" s="1"/>
      <c r="AE647" s="1"/>
      <c r="AF647" s="1"/>
      <c r="AG647" s="1"/>
    </row>
    <row r="648">
      <c r="A648" s="1"/>
      <c r="B648" s="1"/>
      <c r="C648" s="75"/>
      <c r="D648" s="1"/>
      <c r="E648" s="1"/>
      <c r="F648" s="1"/>
      <c r="G648" s="1"/>
      <c r="H648" s="1"/>
      <c r="I648" s="76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01" t="s">
        <v>1103</v>
      </c>
      <c r="V648" s="91" t="s">
        <v>1106</v>
      </c>
      <c r="W648" s="142">
        <v>4.0</v>
      </c>
      <c r="X648" s="142">
        <v>32.0</v>
      </c>
      <c r="Y648" s="142">
        <v>1900.0</v>
      </c>
      <c r="Z648" s="103">
        <f t="shared" si="19"/>
        <v>0.125</v>
      </c>
      <c r="AA648" s="142" t="s">
        <v>300</v>
      </c>
      <c r="AB648" s="105">
        <v>124.83</v>
      </c>
      <c r="AC648" s="1"/>
      <c r="AD648" s="1"/>
      <c r="AE648" s="1"/>
      <c r="AF648" s="1"/>
      <c r="AG648" s="1"/>
    </row>
    <row r="649">
      <c r="A649" s="1"/>
      <c r="B649" s="1"/>
      <c r="C649" s="75"/>
      <c r="D649" s="1"/>
      <c r="E649" s="1"/>
      <c r="F649" s="1"/>
      <c r="G649" s="1"/>
      <c r="H649" s="1"/>
      <c r="I649" s="76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01" t="s">
        <v>1103</v>
      </c>
      <c r="V649" s="91" t="s">
        <v>1107</v>
      </c>
      <c r="W649" s="142">
        <v>8.0</v>
      </c>
      <c r="X649" s="142">
        <v>64.0</v>
      </c>
      <c r="Y649" s="142">
        <v>1900.0</v>
      </c>
      <c r="Z649" s="103">
        <f t="shared" si="19"/>
        <v>0.25</v>
      </c>
      <c r="AA649" s="142" t="s">
        <v>441</v>
      </c>
      <c r="AB649" s="105">
        <v>249.73</v>
      </c>
      <c r="AC649" s="1"/>
      <c r="AD649" s="1"/>
      <c r="AE649" s="1"/>
      <c r="AF649" s="1"/>
      <c r="AG649" s="1"/>
    </row>
    <row r="650">
      <c r="A650" s="1"/>
      <c r="B650" s="1"/>
      <c r="C650" s="75"/>
      <c r="D650" s="1"/>
      <c r="E650" s="1"/>
      <c r="F650" s="1"/>
      <c r="G650" s="1"/>
      <c r="H650" s="1"/>
      <c r="I650" s="76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01" t="s">
        <v>1108</v>
      </c>
      <c r="V650" s="91" t="s">
        <v>1109</v>
      </c>
      <c r="W650" s="142">
        <v>16.0</v>
      </c>
      <c r="X650" s="142">
        <v>128.0</v>
      </c>
      <c r="Y650" s="142">
        <v>1900.0</v>
      </c>
      <c r="Z650" s="103">
        <v>0.5</v>
      </c>
      <c r="AA650" s="142" t="s">
        <v>441</v>
      </c>
      <c r="AB650" s="105">
        <v>499.47</v>
      </c>
      <c r="AC650" s="1"/>
      <c r="AD650" s="1"/>
      <c r="AE650" s="1"/>
      <c r="AF650" s="1"/>
      <c r="AG650" s="1"/>
    </row>
    <row r="651">
      <c r="A651" s="1"/>
      <c r="B651" s="1"/>
      <c r="C651" s="75"/>
      <c r="D651" s="1"/>
      <c r="E651" s="1"/>
      <c r="F651" s="1"/>
      <c r="G651" s="1"/>
      <c r="H651" s="1"/>
      <c r="I651" s="76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01" t="s">
        <v>1103</v>
      </c>
      <c r="V651" s="91" t="s">
        <v>1110</v>
      </c>
      <c r="W651" s="142">
        <v>32.0</v>
      </c>
      <c r="X651" s="142">
        <v>256.0</v>
      </c>
      <c r="Y651" s="142">
        <v>1900.0</v>
      </c>
      <c r="Z651" s="103">
        <v>1.0</v>
      </c>
      <c r="AA651" s="142" t="s">
        <v>444</v>
      </c>
      <c r="AB651" s="105">
        <v>998.93</v>
      </c>
      <c r="AC651" s="1"/>
      <c r="AD651" s="1"/>
      <c r="AE651" s="1"/>
      <c r="AF651" s="1"/>
      <c r="AG651" s="1"/>
    </row>
    <row r="652">
      <c r="A652" s="1"/>
      <c r="B652" s="1"/>
      <c r="C652" s="75"/>
      <c r="D652" s="1"/>
      <c r="E652" s="1"/>
      <c r="F652" s="1"/>
      <c r="G652" s="1"/>
      <c r="H652" s="1"/>
      <c r="I652" s="76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01" t="s">
        <v>1103</v>
      </c>
      <c r="V652" s="91" t="s">
        <v>1111</v>
      </c>
      <c r="W652" s="142">
        <v>48.0</v>
      </c>
      <c r="X652" s="142">
        <v>384.0</v>
      </c>
      <c r="Y652" s="142">
        <v>1900.0</v>
      </c>
      <c r="Z652" s="103">
        <v>1.5</v>
      </c>
      <c r="AA652" s="142" t="s">
        <v>446</v>
      </c>
      <c r="AB652" s="105">
        <v>1498.33</v>
      </c>
      <c r="AC652" s="1"/>
      <c r="AD652" s="1"/>
      <c r="AE652" s="1"/>
      <c r="AF652" s="1"/>
      <c r="AG652" s="1"/>
    </row>
    <row r="653">
      <c r="A653" s="1"/>
      <c r="B653" s="1"/>
      <c r="C653" s="75"/>
      <c r="D653" s="1"/>
      <c r="E653" s="1"/>
      <c r="F653" s="1"/>
      <c r="G653" s="1"/>
      <c r="H653" s="1"/>
      <c r="I653" s="76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01" t="s">
        <v>1103</v>
      </c>
      <c r="V653" s="91" t="s">
        <v>1112</v>
      </c>
      <c r="W653" s="142">
        <v>64.0</v>
      </c>
      <c r="X653" s="142">
        <v>512.0</v>
      </c>
      <c r="Y653" s="142">
        <v>1900.0</v>
      </c>
      <c r="Z653" s="103">
        <v>2.0</v>
      </c>
      <c r="AA653" s="142" t="s">
        <v>448</v>
      </c>
      <c r="AB653" s="105">
        <v>1997.79</v>
      </c>
      <c r="AC653" s="1"/>
      <c r="AD653" s="1"/>
      <c r="AE653" s="1"/>
      <c r="AF653" s="1"/>
      <c r="AG653" s="1"/>
    </row>
    <row r="654">
      <c r="A654" s="1"/>
      <c r="B654" s="1"/>
      <c r="C654" s="75"/>
      <c r="D654" s="1"/>
      <c r="E654" s="1"/>
      <c r="F654" s="1"/>
      <c r="G654" s="1"/>
      <c r="H654" s="1"/>
      <c r="I654" s="76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01" t="s">
        <v>1113</v>
      </c>
      <c r="V654" s="91" t="s">
        <v>1114</v>
      </c>
      <c r="W654" s="142">
        <v>2.0</v>
      </c>
      <c r="X654" s="142">
        <v>16.0</v>
      </c>
      <c r="Y654" s="142">
        <v>0.0</v>
      </c>
      <c r="Z654" s="103">
        <v>0.0</v>
      </c>
      <c r="AA654" s="142" t="s">
        <v>300</v>
      </c>
      <c r="AB654" s="105">
        <v>63.89</v>
      </c>
      <c r="AC654" s="1"/>
      <c r="AD654" s="1"/>
      <c r="AE654" s="1"/>
      <c r="AF654" s="1"/>
      <c r="AG654" s="1"/>
    </row>
    <row r="655">
      <c r="A655" s="1"/>
      <c r="B655" s="1"/>
      <c r="C655" s="75"/>
      <c r="D655" s="1"/>
      <c r="E655" s="1"/>
      <c r="F655" s="1"/>
      <c r="G655" s="1"/>
      <c r="H655" s="1"/>
      <c r="I655" s="76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01" t="s">
        <v>1115</v>
      </c>
      <c r="V655" s="91" t="s">
        <v>1116</v>
      </c>
      <c r="W655" s="142">
        <v>4.0</v>
      </c>
      <c r="X655" s="142">
        <v>32.0</v>
      </c>
      <c r="Y655" s="142">
        <v>0.0</v>
      </c>
      <c r="Z655" s="103">
        <v>0.0</v>
      </c>
      <c r="AA655" s="142" t="s">
        <v>300</v>
      </c>
      <c r="AB655" s="105">
        <v>127.77</v>
      </c>
      <c r="AC655" s="1"/>
      <c r="AD655" s="1"/>
      <c r="AE655" s="1"/>
      <c r="AF655" s="1"/>
      <c r="AG655" s="1"/>
    </row>
    <row r="656">
      <c r="A656" s="1"/>
      <c r="B656" s="1"/>
      <c r="C656" s="75"/>
      <c r="D656" s="1"/>
      <c r="E656" s="1"/>
      <c r="F656" s="1"/>
      <c r="G656" s="1"/>
      <c r="H656" s="1"/>
      <c r="I656" s="76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01" t="s">
        <v>1115</v>
      </c>
      <c r="V656" s="91" t="s">
        <v>1117</v>
      </c>
      <c r="W656" s="142">
        <v>8.0</v>
      </c>
      <c r="X656" s="142">
        <v>64.0</v>
      </c>
      <c r="Y656" s="142">
        <v>0.0</v>
      </c>
      <c r="Z656" s="103">
        <v>0.0</v>
      </c>
      <c r="AA656" s="142" t="s">
        <v>300</v>
      </c>
      <c r="AB656" s="105">
        <v>255.55</v>
      </c>
      <c r="AC656" s="1"/>
      <c r="AD656" s="1"/>
      <c r="AE656" s="1"/>
      <c r="AF656" s="1"/>
      <c r="AG656" s="1"/>
    </row>
    <row r="657">
      <c r="A657" s="1"/>
      <c r="B657" s="1"/>
      <c r="C657" s="75"/>
      <c r="D657" s="1"/>
      <c r="E657" s="1"/>
      <c r="F657" s="1"/>
      <c r="G657" s="1"/>
      <c r="H657" s="1"/>
      <c r="I657" s="76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01" t="s">
        <v>1115</v>
      </c>
      <c r="V657" s="91" t="s">
        <v>1118</v>
      </c>
      <c r="W657" s="142">
        <v>16.0</v>
      </c>
      <c r="X657" s="142">
        <v>128.0</v>
      </c>
      <c r="Y657" s="142">
        <v>0.0</v>
      </c>
      <c r="Z657" s="103">
        <v>0.0</v>
      </c>
      <c r="AA657" s="142" t="s">
        <v>300</v>
      </c>
      <c r="AB657" s="105">
        <v>511.09</v>
      </c>
      <c r="AC657" s="1"/>
      <c r="AD657" s="1"/>
      <c r="AE657" s="1"/>
      <c r="AF657" s="1"/>
      <c r="AG657" s="1"/>
    </row>
    <row r="658">
      <c r="A658" s="1"/>
      <c r="B658" s="1"/>
      <c r="C658" s="75"/>
      <c r="D658" s="1"/>
      <c r="E658" s="1"/>
      <c r="F658" s="1"/>
      <c r="G658" s="1"/>
      <c r="H658" s="1"/>
      <c r="I658" s="76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01" t="s">
        <v>1115</v>
      </c>
      <c r="V658" s="91" t="s">
        <v>1119</v>
      </c>
      <c r="W658" s="142">
        <v>32.0</v>
      </c>
      <c r="X658" s="142">
        <v>256.0</v>
      </c>
      <c r="Y658" s="142">
        <v>0.0</v>
      </c>
      <c r="Z658" s="103">
        <v>0.0</v>
      </c>
      <c r="AA658" s="142" t="s">
        <v>308</v>
      </c>
      <c r="AB658" s="105">
        <v>1022.19</v>
      </c>
      <c r="AC658" s="1"/>
      <c r="AD658" s="1"/>
      <c r="AE658" s="1"/>
      <c r="AF658" s="1"/>
      <c r="AG658" s="1"/>
    </row>
    <row r="659">
      <c r="A659" s="1"/>
      <c r="B659" s="1"/>
      <c r="C659" s="75"/>
      <c r="D659" s="1"/>
      <c r="E659" s="1"/>
      <c r="F659" s="1"/>
      <c r="G659" s="1"/>
      <c r="H659" s="1"/>
      <c r="I659" s="76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01" t="s">
        <v>1115</v>
      </c>
      <c r="V659" s="91" t="s">
        <v>1120</v>
      </c>
      <c r="W659" s="142">
        <v>48.0</v>
      </c>
      <c r="X659" s="142">
        <v>384.0</v>
      </c>
      <c r="Y659" s="142">
        <v>0.0</v>
      </c>
      <c r="Z659" s="103">
        <v>0.0</v>
      </c>
      <c r="AA659" s="142" t="s">
        <v>311</v>
      </c>
      <c r="AB659" s="105">
        <v>1533.28</v>
      </c>
      <c r="AC659" s="1"/>
      <c r="AD659" s="1"/>
      <c r="AE659" s="1"/>
      <c r="AF659" s="1"/>
      <c r="AG659" s="1"/>
    </row>
    <row r="660">
      <c r="A660" s="1"/>
      <c r="B660" s="1"/>
      <c r="C660" s="75"/>
      <c r="D660" s="1"/>
      <c r="E660" s="1"/>
      <c r="F660" s="1"/>
      <c r="G660" s="1"/>
      <c r="H660" s="1"/>
      <c r="I660" s="76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01" t="s">
        <v>1115</v>
      </c>
      <c r="V660" s="91" t="s">
        <v>1121</v>
      </c>
      <c r="W660" s="142">
        <v>64.0</v>
      </c>
      <c r="X660" s="142">
        <v>512.0</v>
      </c>
      <c r="Y660" s="142">
        <v>0.0</v>
      </c>
      <c r="Z660" s="103">
        <v>0.0</v>
      </c>
      <c r="AA660" s="142" t="s">
        <v>208</v>
      </c>
      <c r="AB660" s="105">
        <v>2044.39</v>
      </c>
      <c r="AC660" s="1"/>
      <c r="AD660" s="1"/>
      <c r="AE660" s="1"/>
      <c r="AF660" s="1"/>
      <c r="AG660" s="1"/>
    </row>
    <row r="661">
      <c r="A661" s="1"/>
      <c r="B661" s="1"/>
      <c r="C661" s="75"/>
      <c r="D661" s="1"/>
      <c r="E661" s="1"/>
      <c r="F661" s="1"/>
      <c r="G661" s="1"/>
      <c r="H661" s="1"/>
      <c r="I661" s="76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01" t="s">
        <v>1115</v>
      </c>
      <c r="V661" s="91" t="s">
        <v>1122</v>
      </c>
      <c r="W661" s="142">
        <v>96.0</v>
      </c>
      <c r="X661" s="142">
        <v>768.0</v>
      </c>
      <c r="Y661" s="142">
        <v>0.0</v>
      </c>
      <c r="Z661" s="103">
        <v>0.0</v>
      </c>
      <c r="AA661" s="142" t="s">
        <v>315</v>
      </c>
      <c r="AB661" s="105">
        <v>3066.58</v>
      </c>
      <c r="AC661" s="1"/>
      <c r="AD661" s="1"/>
      <c r="AE661" s="1"/>
      <c r="AF661" s="1"/>
      <c r="AG661" s="1"/>
    </row>
    <row r="662">
      <c r="A662" s="1"/>
      <c r="B662" s="1"/>
      <c r="C662" s="75"/>
      <c r="D662" s="1"/>
      <c r="E662" s="1"/>
      <c r="F662" s="1"/>
      <c r="G662" s="1"/>
      <c r="H662" s="1"/>
      <c r="I662" s="76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01" t="s">
        <v>1115</v>
      </c>
      <c r="V662" s="91" t="s">
        <v>1123</v>
      </c>
      <c r="W662" s="142">
        <v>192.0</v>
      </c>
      <c r="X662" s="142">
        <v>1536.0</v>
      </c>
      <c r="Y662" s="142">
        <v>0.0</v>
      </c>
      <c r="Z662" s="103">
        <v>0.0</v>
      </c>
      <c r="AA662" s="142" t="s">
        <v>294</v>
      </c>
      <c r="AB662" s="105">
        <v>6133.15</v>
      </c>
      <c r="AC662" s="1"/>
      <c r="AD662" s="1"/>
      <c r="AE662" s="1"/>
      <c r="AF662" s="1"/>
      <c r="AG662" s="1"/>
    </row>
    <row r="663">
      <c r="A663" s="1"/>
      <c r="B663" s="1"/>
      <c r="C663" s="75"/>
      <c r="D663" s="1"/>
      <c r="E663" s="1"/>
      <c r="F663" s="1"/>
      <c r="G663" s="1"/>
      <c r="H663" s="1"/>
      <c r="I663" s="76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01" t="s">
        <v>1124</v>
      </c>
      <c r="V663" s="91" t="s">
        <v>1125</v>
      </c>
      <c r="W663" s="142">
        <v>2.0</v>
      </c>
      <c r="X663" s="142">
        <v>16.0</v>
      </c>
      <c r="Y663" s="142">
        <v>0.0</v>
      </c>
      <c r="Z663" s="103">
        <v>0.0</v>
      </c>
      <c r="AA663" s="142" t="s">
        <v>300</v>
      </c>
      <c r="AB663" s="105">
        <v>85.54</v>
      </c>
      <c r="AC663" s="1"/>
      <c r="AD663" s="1"/>
      <c r="AE663" s="1"/>
      <c r="AF663" s="1"/>
      <c r="AG663" s="1"/>
    </row>
    <row r="664">
      <c r="A664" s="1"/>
      <c r="B664" s="1"/>
      <c r="C664" s="75"/>
      <c r="D664" s="1"/>
      <c r="E664" s="1"/>
      <c r="F664" s="1"/>
      <c r="G664" s="1"/>
      <c r="H664" s="1"/>
      <c r="I664" s="76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01" t="s">
        <v>1126</v>
      </c>
      <c r="V664" s="91" t="s">
        <v>1127</v>
      </c>
      <c r="W664" s="142">
        <v>4.0</v>
      </c>
      <c r="X664" s="142">
        <v>32.0</v>
      </c>
      <c r="Y664" s="142">
        <v>0.0</v>
      </c>
      <c r="Z664" s="103">
        <v>0.0</v>
      </c>
      <c r="AA664" s="142" t="s">
        <v>300</v>
      </c>
      <c r="AB664" s="105">
        <v>171.08</v>
      </c>
      <c r="AC664" s="1"/>
      <c r="AD664" s="1"/>
      <c r="AE664" s="1"/>
      <c r="AF664" s="1"/>
      <c r="AG664" s="1"/>
    </row>
    <row r="665">
      <c r="A665" s="1"/>
      <c r="B665" s="1"/>
      <c r="C665" s="75"/>
      <c r="D665" s="1"/>
      <c r="E665" s="1"/>
      <c r="F665" s="1"/>
      <c r="G665" s="1"/>
      <c r="H665" s="1"/>
      <c r="I665" s="76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01" t="s">
        <v>1126</v>
      </c>
      <c r="V665" s="91" t="s">
        <v>1128</v>
      </c>
      <c r="W665" s="142">
        <v>8.0</v>
      </c>
      <c r="X665" s="142">
        <v>64.0</v>
      </c>
      <c r="Y665" s="142">
        <v>0.0</v>
      </c>
      <c r="Z665" s="103">
        <v>0.0</v>
      </c>
      <c r="AA665" s="142" t="s">
        <v>300</v>
      </c>
      <c r="AB665" s="105">
        <v>342.17</v>
      </c>
      <c r="AC665" s="1"/>
      <c r="AD665" s="1"/>
      <c r="AE665" s="1"/>
      <c r="AF665" s="1"/>
      <c r="AG665" s="1"/>
    </row>
    <row r="666">
      <c r="A666" s="1"/>
      <c r="B666" s="1"/>
      <c r="C666" s="75"/>
      <c r="D666" s="1"/>
      <c r="E666" s="1"/>
      <c r="F666" s="1"/>
      <c r="G666" s="1"/>
      <c r="H666" s="1"/>
      <c r="I666" s="76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01" t="s">
        <v>1126</v>
      </c>
      <c r="V666" s="91" t="s">
        <v>1129</v>
      </c>
      <c r="W666" s="142">
        <v>16.0</v>
      </c>
      <c r="X666" s="142">
        <v>128.0</v>
      </c>
      <c r="Y666" s="142">
        <v>0.0</v>
      </c>
      <c r="Z666" s="103">
        <v>0.0</v>
      </c>
      <c r="AA666" s="142" t="s">
        <v>300</v>
      </c>
      <c r="AB666" s="105">
        <v>684.33</v>
      </c>
      <c r="AC666" s="1"/>
      <c r="AD666" s="1"/>
      <c r="AE666" s="1"/>
      <c r="AF666" s="1"/>
      <c r="AG666" s="1"/>
    </row>
    <row r="667">
      <c r="A667" s="1"/>
      <c r="B667" s="1"/>
      <c r="C667" s="75"/>
      <c r="D667" s="1"/>
      <c r="E667" s="1"/>
      <c r="F667" s="1"/>
      <c r="G667" s="1"/>
      <c r="H667" s="1"/>
      <c r="I667" s="76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01" t="s">
        <v>1126</v>
      </c>
      <c r="V667" s="91" t="s">
        <v>1130</v>
      </c>
      <c r="W667" s="142">
        <v>32.0</v>
      </c>
      <c r="X667" s="142">
        <v>256.0</v>
      </c>
      <c r="Y667" s="142">
        <v>0.0</v>
      </c>
      <c r="Z667" s="103">
        <v>0.0</v>
      </c>
      <c r="AA667" s="142" t="s">
        <v>308</v>
      </c>
      <c r="AB667" s="105">
        <v>1368.66</v>
      </c>
      <c r="AC667" s="1"/>
      <c r="AD667" s="1"/>
      <c r="AE667" s="1"/>
      <c r="AF667" s="1"/>
      <c r="AG667" s="1"/>
    </row>
    <row r="668">
      <c r="A668" s="1"/>
      <c r="B668" s="1"/>
      <c r="C668" s="75"/>
      <c r="D668" s="1"/>
      <c r="E668" s="1"/>
      <c r="F668" s="1"/>
      <c r="G668" s="1"/>
      <c r="H668" s="1"/>
      <c r="I668" s="76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01" t="s">
        <v>1126</v>
      </c>
      <c r="V668" s="91" t="s">
        <v>1131</v>
      </c>
      <c r="W668" s="142">
        <v>48.0</v>
      </c>
      <c r="X668" s="142">
        <v>384.0</v>
      </c>
      <c r="Y668" s="142">
        <v>0.0</v>
      </c>
      <c r="Z668" s="103">
        <v>0.0</v>
      </c>
      <c r="AA668" s="142" t="s">
        <v>208</v>
      </c>
      <c r="AB668" s="105">
        <v>2052.99</v>
      </c>
      <c r="AC668" s="1"/>
      <c r="AD668" s="1"/>
      <c r="AE668" s="1"/>
      <c r="AF668" s="1"/>
      <c r="AG668" s="1"/>
    </row>
    <row r="669">
      <c r="A669" s="1"/>
      <c r="B669" s="1"/>
      <c r="C669" s="75"/>
      <c r="D669" s="1"/>
      <c r="E669" s="1"/>
      <c r="F669" s="1"/>
      <c r="G669" s="1"/>
      <c r="H669" s="1"/>
      <c r="I669" s="76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01" t="s">
        <v>1126</v>
      </c>
      <c r="V669" s="91" t="s">
        <v>1132</v>
      </c>
      <c r="W669" s="142">
        <v>64.0</v>
      </c>
      <c r="X669" s="142">
        <v>512.0</v>
      </c>
      <c r="Y669" s="142">
        <v>0.0</v>
      </c>
      <c r="Z669" s="103">
        <v>0.0</v>
      </c>
      <c r="AA669" s="142" t="s">
        <v>208</v>
      </c>
      <c r="AB669" s="105">
        <v>2737.32</v>
      </c>
      <c r="AC669" s="1"/>
      <c r="AD669" s="1"/>
      <c r="AE669" s="1"/>
      <c r="AF669" s="1"/>
      <c r="AG669" s="1"/>
    </row>
    <row r="670">
      <c r="A670" s="1"/>
      <c r="B670" s="1"/>
      <c r="C670" s="75"/>
      <c r="D670" s="1"/>
      <c r="E670" s="1"/>
      <c r="F670" s="1"/>
      <c r="G670" s="1"/>
      <c r="H670" s="1"/>
      <c r="I670" s="76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01" t="s">
        <v>1126</v>
      </c>
      <c r="V670" s="91" t="s">
        <v>1133</v>
      </c>
      <c r="W670" s="142">
        <v>128.0</v>
      </c>
      <c r="X670" s="142">
        <v>1024.0</v>
      </c>
      <c r="Y670" s="142">
        <v>0.0</v>
      </c>
      <c r="Z670" s="103">
        <v>0.0</v>
      </c>
      <c r="AA670" s="142" t="s">
        <v>294</v>
      </c>
      <c r="AB670" s="105">
        <v>5474.65</v>
      </c>
      <c r="AC670" s="1"/>
      <c r="AD670" s="1"/>
      <c r="AE670" s="1"/>
      <c r="AF670" s="1"/>
      <c r="AG670" s="1"/>
    </row>
    <row r="671">
      <c r="A671" s="1"/>
      <c r="B671" s="1"/>
      <c r="C671" s="75"/>
      <c r="D671" s="1"/>
      <c r="E671" s="1"/>
      <c r="F671" s="1"/>
      <c r="G671" s="1"/>
      <c r="H671" s="1"/>
      <c r="I671" s="76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01" t="s">
        <v>1134</v>
      </c>
      <c r="V671" s="91" t="s">
        <v>1135</v>
      </c>
      <c r="W671" s="142">
        <v>1.0</v>
      </c>
      <c r="X671" s="142">
        <v>8.0</v>
      </c>
      <c r="Y671" s="142">
        <v>0.0</v>
      </c>
      <c r="Z671" s="103">
        <v>0.0</v>
      </c>
      <c r="AA671" s="142" t="s">
        <v>300</v>
      </c>
      <c r="AB671" s="105">
        <v>28.45</v>
      </c>
      <c r="AC671" s="1"/>
      <c r="AD671" s="1"/>
      <c r="AE671" s="1"/>
      <c r="AF671" s="1"/>
      <c r="AG671" s="1"/>
    </row>
    <row r="672">
      <c r="A672" s="1"/>
      <c r="B672" s="1"/>
      <c r="C672" s="75"/>
      <c r="D672" s="1"/>
      <c r="E672" s="1"/>
      <c r="F672" s="1"/>
      <c r="G672" s="1"/>
      <c r="H672" s="1"/>
      <c r="I672" s="76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01" t="s">
        <v>1136</v>
      </c>
      <c r="V672" s="91" t="s">
        <v>1137</v>
      </c>
      <c r="W672" s="142">
        <v>2.0</v>
      </c>
      <c r="X672" s="142">
        <v>16.0</v>
      </c>
      <c r="Y672" s="142">
        <v>0.0</v>
      </c>
      <c r="Z672" s="103">
        <v>0.0</v>
      </c>
      <c r="AA672" s="142" t="s">
        <v>300</v>
      </c>
      <c r="AB672" s="105">
        <v>56.9</v>
      </c>
      <c r="AC672" s="1"/>
      <c r="AD672" s="1"/>
      <c r="AE672" s="1"/>
      <c r="AF672" s="1"/>
      <c r="AG672" s="1"/>
    </row>
    <row r="673">
      <c r="A673" s="1"/>
      <c r="B673" s="1"/>
      <c r="C673" s="75"/>
      <c r="D673" s="1"/>
      <c r="E673" s="1"/>
      <c r="F673" s="1"/>
      <c r="G673" s="1"/>
      <c r="H673" s="1"/>
      <c r="I673" s="76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01" t="s">
        <v>1136</v>
      </c>
      <c r="V673" s="91" t="s">
        <v>1138</v>
      </c>
      <c r="W673" s="142">
        <v>4.0</v>
      </c>
      <c r="X673" s="142">
        <v>32.0</v>
      </c>
      <c r="Y673" s="142">
        <v>0.0</v>
      </c>
      <c r="Z673" s="103">
        <v>0.0</v>
      </c>
      <c r="AA673" s="142" t="s">
        <v>300</v>
      </c>
      <c r="AB673" s="105">
        <v>113.79</v>
      </c>
      <c r="AC673" s="1"/>
      <c r="AD673" s="1"/>
      <c r="AE673" s="1"/>
      <c r="AF673" s="1"/>
      <c r="AG673" s="1"/>
    </row>
    <row r="674">
      <c r="A674" s="1"/>
      <c r="B674" s="1"/>
      <c r="C674" s="75"/>
      <c r="D674" s="1"/>
      <c r="E674" s="1"/>
      <c r="F674" s="1"/>
      <c r="G674" s="1"/>
      <c r="H674" s="1"/>
      <c r="I674" s="76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01" t="s">
        <v>1136</v>
      </c>
      <c r="V674" s="91" t="s">
        <v>1139</v>
      </c>
      <c r="W674" s="142">
        <v>8.0</v>
      </c>
      <c r="X674" s="142">
        <v>64.0</v>
      </c>
      <c r="Y674" s="142">
        <v>0.0</v>
      </c>
      <c r="Z674" s="103">
        <v>0.0</v>
      </c>
      <c r="AA674" s="142" t="s">
        <v>441</v>
      </c>
      <c r="AB674" s="105">
        <v>227.58</v>
      </c>
      <c r="AC674" s="1"/>
      <c r="AD674" s="1"/>
      <c r="AE674" s="1"/>
      <c r="AF674" s="1"/>
      <c r="AG674" s="1"/>
    </row>
    <row r="675">
      <c r="A675" s="1"/>
      <c r="B675" s="1"/>
      <c r="C675" s="75"/>
      <c r="D675" s="1"/>
      <c r="E675" s="1"/>
      <c r="F675" s="1"/>
      <c r="G675" s="1"/>
      <c r="H675" s="1"/>
      <c r="I675" s="76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01" t="s">
        <v>1136</v>
      </c>
      <c r="V675" s="91" t="s">
        <v>1140</v>
      </c>
      <c r="W675" s="142">
        <v>16.0</v>
      </c>
      <c r="X675" s="142">
        <v>128.0</v>
      </c>
      <c r="Y675" s="142">
        <v>0.0</v>
      </c>
      <c r="Z675" s="103">
        <v>0.0</v>
      </c>
      <c r="AA675" s="142" t="s">
        <v>441</v>
      </c>
      <c r="AB675" s="105">
        <v>455.16</v>
      </c>
      <c r="AC675" s="1"/>
      <c r="AD675" s="1"/>
      <c r="AE675" s="1"/>
      <c r="AF675" s="1"/>
      <c r="AG675" s="1"/>
    </row>
    <row r="676">
      <c r="A676" s="1"/>
      <c r="B676" s="1"/>
      <c r="C676" s="75"/>
      <c r="D676" s="1"/>
      <c r="E676" s="1"/>
      <c r="F676" s="1"/>
      <c r="G676" s="1"/>
      <c r="H676" s="1"/>
      <c r="I676" s="76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01" t="s">
        <v>1136</v>
      </c>
      <c r="V676" s="91" t="s">
        <v>1141</v>
      </c>
      <c r="W676" s="142">
        <v>32.0</v>
      </c>
      <c r="X676" s="142">
        <v>256.0</v>
      </c>
      <c r="Y676" s="142">
        <v>0.0</v>
      </c>
      <c r="Z676" s="103">
        <v>0.0</v>
      </c>
      <c r="AA676" s="142" t="s">
        <v>444</v>
      </c>
      <c r="AB676" s="105">
        <v>910.32</v>
      </c>
      <c r="AC676" s="1"/>
      <c r="AD676" s="1"/>
      <c r="AE676" s="1"/>
      <c r="AF676" s="1"/>
      <c r="AG676" s="1"/>
    </row>
    <row r="677">
      <c r="A677" s="1"/>
      <c r="B677" s="1"/>
      <c r="C677" s="75"/>
      <c r="D677" s="1"/>
      <c r="E677" s="1"/>
      <c r="F677" s="1"/>
      <c r="G677" s="1"/>
      <c r="H677" s="1"/>
      <c r="I677" s="76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01" t="s">
        <v>1136</v>
      </c>
      <c r="V677" s="91" t="s">
        <v>1142</v>
      </c>
      <c r="W677" s="142">
        <v>48.0</v>
      </c>
      <c r="X677" s="142">
        <v>384.0</v>
      </c>
      <c r="Y677" s="142">
        <v>0.0</v>
      </c>
      <c r="Z677" s="103">
        <v>0.0</v>
      </c>
      <c r="AA677" s="142" t="s">
        <v>446</v>
      </c>
      <c r="AB677" s="105">
        <v>1365.47</v>
      </c>
      <c r="AC677" s="1"/>
      <c r="AD677" s="1"/>
      <c r="AE677" s="1"/>
      <c r="AF677" s="1"/>
      <c r="AG677" s="1"/>
    </row>
    <row r="678">
      <c r="A678" s="1"/>
      <c r="B678" s="1"/>
      <c r="C678" s="75"/>
      <c r="D678" s="1"/>
      <c r="E678" s="1"/>
      <c r="F678" s="1"/>
      <c r="G678" s="1"/>
      <c r="H678" s="1"/>
      <c r="I678" s="76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01" t="s">
        <v>1136</v>
      </c>
      <c r="V678" s="91" t="s">
        <v>1143</v>
      </c>
      <c r="W678" s="142">
        <v>64.0</v>
      </c>
      <c r="X678" s="142">
        <v>512.0</v>
      </c>
      <c r="Y678" s="142">
        <v>0.0</v>
      </c>
      <c r="Z678" s="103">
        <v>0.0</v>
      </c>
      <c r="AA678" s="142" t="s">
        <v>448</v>
      </c>
      <c r="AB678" s="105">
        <v>1820.63</v>
      </c>
      <c r="AC678" s="1"/>
      <c r="AD678" s="1"/>
      <c r="AE678" s="1"/>
      <c r="AF678" s="1"/>
      <c r="AG678" s="1"/>
    </row>
    <row r="679">
      <c r="A679" s="1"/>
      <c r="B679" s="1"/>
      <c r="C679" s="75"/>
      <c r="D679" s="1"/>
      <c r="E679" s="1"/>
      <c r="F679" s="1"/>
      <c r="G679" s="1"/>
      <c r="H679" s="1"/>
      <c r="I679" s="76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01" t="s">
        <v>1136</v>
      </c>
      <c r="V679" s="91" t="s">
        <v>1144</v>
      </c>
      <c r="W679" s="142">
        <v>96.0</v>
      </c>
      <c r="X679" s="142">
        <v>768.0</v>
      </c>
      <c r="Y679" s="142">
        <v>0.0</v>
      </c>
      <c r="Z679" s="103">
        <v>0.0</v>
      </c>
      <c r="AA679" s="142" t="s">
        <v>501</v>
      </c>
      <c r="AB679" s="105">
        <v>2730.94</v>
      </c>
      <c r="AC679" s="1"/>
      <c r="AD679" s="1"/>
      <c r="AE679" s="1"/>
      <c r="AF679" s="1"/>
      <c r="AG679" s="1"/>
    </row>
    <row r="680">
      <c r="A680" s="1"/>
      <c r="B680" s="1"/>
      <c r="C680" s="75"/>
      <c r="D680" s="1"/>
      <c r="E680" s="1"/>
      <c r="F680" s="1"/>
      <c r="G680" s="1"/>
      <c r="H680" s="1"/>
      <c r="I680" s="76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01" t="s">
        <v>1136</v>
      </c>
      <c r="V680" s="91" t="s">
        <v>1145</v>
      </c>
      <c r="W680" s="142">
        <v>192.0</v>
      </c>
      <c r="X680" s="142">
        <v>1536.0</v>
      </c>
      <c r="Y680" s="142">
        <v>0.0</v>
      </c>
      <c r="Z680" s="103">
        <v>0.0</v>
      </c>
      <c r="AA680" s="142" t="s">
        <v>294</v>
      </c>
      <c r="AB680" s="105">
        <v>5461.89</v>
      </c>
      <c r="AC680" s="1"/>
      <c r="AD680" s="1"/>
      <c r="AE680" s="1"/>
      <c r="AF680" s="1"/>
      <c r="AG680" s="1"/>
    </row>
    <row r="681">
      <c r="A681" s="1"/>
      <c r="B681" s="1"/>
      <c r="C681" s="75"/>
      <c r="D681" s="1"/>
      <c r="E681" s="1"/>
      <c r="F681" s="1"/>
      <c r="G681" s="1"/>
      <c r="H681" s="1"/>
      <c r="I681" s="76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01" t="s">
        <v>1146</v>
      </c>
      <c r="V681" s="91" t="s">
        <v>1147</v>
      </c>
      <c r="W681" s="142">
        <v>1.0</v>
      </c>
      <c r="X681" s="142">
        <v>8.0</v>
      </c>
      <c r="Y681" s="142">
        <v>1900.0</v>
      </c>
      <c r="Z681" s="103">
        <f t="shared" ref="Z681:Z684" si="20">Z682/2</f>
        <v>0.03125</v>
      </c>
      <c r="AA681" s="142" t="s">
        <v>300</v>
      </c>
      <c r="AB681" s="105">
        <v>35.35</v>
      </c>
      <c r="AC681" s="1"/>
      <c r="AD681" s="1"/>
      <c r="AE681" s="1"/>
      <c r="AF681" s="1"/>
      <c r="AG681" s="1"/>
    </row>
    <row r="682">
      <c r="A682" s="1"/>
      <c r="B682" s="1"/>
      <c r="C682" s="75"/>
      <c r="D682" s="1"/>
      <c r="E682" s="1"/>
      <c r="F682" s="1"/>
      <c r="G682" s="1"/>
      <c r="H682" s="1"/>
      <c r="I682" s="76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01" t="s">
        <v>1146</v>
      </c>
      <c r="V682" s="91" t="s">
        <v>1148</v>
      </c>
      <c r="W682" s="142">
        <v>2.0</v>
      </c>
      <c r="X682" s="142">
        <v>16.0</v>
      </c>
      <c r="Y682" s="142">
        <v>1900.0</v>
      </c>
      <c r="Z682" s="103">
        <f t="shared" si="20"/>
        <v>0.0625</v>
      </c>
      <c r="AA682" s="142" t="s">
        <v>300</v>
      </c>
      <c r="AB682" s="105">
        <v>70.69</v>
      </c>
      <c r="AC682" s="1"/>
      <c r="AD682" s="1"/>
      <c r="AE682" s="1"/>
      <c r="AF682" s="1"/>
      <c r="AG682" s="1"/>
    </row>
    <row r="683">
      <c r="A683" s="1"/>
      <c r="B683" s="1"/>
      <c r="C683" s="75"/>
      <c r="D683" s="1"/>
      <c r="E683" s="1"/>
      <c r="F683" s="1"/>
      <c r="G683" s="1"/>
      <c r="H683" s="1"/>
      <c r="I683" s="76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01" t="s">
        <v>1146</v>
      </c>
      <c r="V683" s="91" t="s">
        <v>1149</v>
      </c>
      <c r="W683" s="142">
        <v>4.0</v>
      </c>
      <c r="X683" s="142">
        <v>32.0</v>
      </c>
      <c r="Y683" s="142">
        <v>1900.0</v>
      </c>
      <c r="Z683" s="103">
        <f t="shared" si="20"/>
        <v>0.125</v>
      </c>
      <c r="AA683" s="142" t="s">
        <v>300</v>
      </c>
      <c r="AB683" s="105">
        <v>141.39</v>
      </c>
      <c r="AC683" s="1"/>
      <c r="AD683" s="1"/>
      <c r="AE683" s="1"/>
      <c r="AF683" s="1"/>
      <c r="AG683" s="1"/>
    </row>
    <row r="684">
      <c r="A684" s="1"/>
      <c r="B684" s="1"/>
      <c r="C684" s="75"/>
      <c r="D684" s="1"/>
      <c r="E684" s="1"/>
      <c r="F684" s="1"/>
      <c r="G684" s="1"/>
      <c r="H684" s="1"/>
      <c r="I684" s="76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01" t="s">
        <v>1146</v>
      </c>
      <c r="V684" s="91" t="s">
        <v>1150</v>
      </c>
      <c r="W684" s="142">
        <v>8.0</v>
      </c>
      <c r="X684" s="142">
        <v>64.0</v>
      </c>
      <c r="Y684" s="142">
        <v>1900.0</v>
      </c>
      <c r="Z684" s="103">
        <f t="shared" si="20"/>
        <v>0.25</v>
      </c>
      <c r="AA684" s="142" t="s">
        <v>441</v>
      </c>
      <c r="AB684" s="105">
        <v>282.78</v>
      </c>
      <c r="AC684" s="1"/>
      <c r="AD684" s="1"/>
      <c r="AE684" s="1"/>
      <c r="AF684" s="1"/>
      <c r="AG684" s="1"/>
    </row>
    <row r="685">
      <c r="A685" s="1"/>
      <c r="B685" s="1"/>
      <c r="C685" s="75"/>
      <c r="D685" s="1"/>
      <c r="E685" s="1"/>
      <c r="F685" s="1"/>
      <c r="G685" s="1"/>
      <c r="H685" s="1"/>
      <c r="I685" s="76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01" t="s">
        <v>1151</v>
      </c>
      <c r="V685" s="91" t="s">
        <v>1152</v>
      </c>
      <c r="W685" s="142">
        <v>16.0</v>
      </c>
      <c r="X685" s="142">
        <v>128.0</v>
      </c>
      <c r="Y685" s="142">
        <v>1900.0</v>
      </c>
      <c r="Z685" s="103">
        <v>0.5</v>
      </c>
      <c r="AA685" s="142" t="s">
        <v>441</v>
      </c>
      <c r="AB685" s="105">
        <v>565.55</v>
      </c>
      <c r="AC685" s="1"/>
      <c r="AD685" s="1"/>
      <c r="AE685" s="1"/>
      <c r="AF685" s="1"/>
      <c r="AG685" s="1"/>
    </row>
    <row r="686">
      <c r="A686" s="1"/>
      <c r="B686" s="1"/>
      <c r="C686" s="75"/>
      <c r="D686" s="1"/>
      <c r="E686" s="1"/>
      <c r="F686" s="1"/>
      <c r="G686" s="1"/>
      <c r="H686" s="1"/>
      <c r="I686" s="76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01" t="s">
        <v>1146</v>
      </c>
      <c r="V686" s="91" t="s">
        <v>1153</v>
      </c>
      <c r="W686" s="142">
        <v>32.0</v>
      </c>
      <c r="X686" s="142">
        <v>256.0</v>
      </c>
      <c r="Y686" s="142">
        <v>1900.0</v>
      </c>
      <c r="Z686" s="103">
        <v>1.0</v>
      </c>
      <c r="AA686" s="142" t="s">
        <v>444</v>
      </c>
      <c r="AB686" s="105">
        <v>1131.11</v>
      </c>
      <c r="AC686" s="1"/>
      <c r="AD686" s="1"/>
      <c r="AE686" s="1"/>
      <c r="AF686" s="1"/>
      <c r="AG686" s="1"/>
    </row>
    <row r="687">
      <c r="A687" s="1"/>
      <c r="B687" s="1"/>
      <c r="C687" s="75"/>
      <c r="D687" s="1"/>
      <c r="E687" s="1"/>
      <c r="F687" s="1"/>
      <c r="G687" s="1"/>
      <c r="H687" s="1"/>
      <c r="I687" s="76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01" t="s">
        <v>1146</v>
      </c>
      <c r="V687" s="91" t="s">
        <v>1154</v>
      </c>
      <c r="W687" s="142">
        <v>48.0</v>
      </c>
      <c r="X687" s="142">
        <v>384.0</v>
      </c>
      <c r="Y687" s="142">
        <v>1900.0</v>
      </c>
      <c r="Z687" s="103">
        <v>1.5</v>
      </c>
      <c r="AA687" s="142" t="s">
        <v>446</v>
      </c>
      <c r="AB687" s="105">
        <v>1696.66</v>
      </c>
      <c r="AC687" s="1"/>
      <c r="AD687" s="1"/>
      <c r="AE687" s="1"/>
      <c r="AF687" s="1"/>
      <c r="AG687" s="1"/>
    </row>
    <row r="688">
      <c r="A688" s="1"/>
      <c r="B688" s="1"/>
      <c r="C688" s="75"/>
      <c r="D688" s="1"/>
      <c r="E688" s="1"/>
      <c r="F688" s="1"/>
      <c r="G688" s="1"/>
      <c r="H688" s="1"/>
      <c r="I688" s="76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01" t="s">
        <v>1146</v>
      </c>
      <c r="V688" s="91" t="s">
        <v>1155</v>
      </c>
      <c r="W688" s="142">
        <v>64.0</v>
      </c>
      <c r="X688" s="142">
        <v>512.0</v>
      </c>
      <c r="Y688" s="142">
        <v>1900.0</v>
      </c>
      <c r="Z688" s="103">
        <v>2.0</v>
      </c>
      <c r="AA688" s="142" t="s">
        <v>448</v>
      </c>
      <c r="AB688" s="105">
        <v>2262.22</v>
      </c>
      <c r="AC688" s="1"/>
      <c r="AD688" s="1"/>
      <c r="AE688" s="1"/>
      <c r="AF688" s="1"/>
      <c r="AG688" s="1"/>
    </row>
    <row r="689">
      <c r="A689" s="1"/>
      <c r="B689" s="1"/>
      <c r="C689" s="75"/>
      <c r="D689" s="1"/>
      <c r="E689" s="1"/>
      <c r="F689" s="1"/>
      <c r="G689" s="1"/>
      <c r="H689" s="1"/>
      <c r="I689" s="76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01" t="s">
        <v>1146</v>
      </c>
      <c r="V689" s="91" t="s">
        <v>1156</v>
      </c>
      <c r="W689" s="142">
        <v>96.0</v>
      </c>
      <c r="X689" s="142">
        <v>768.0</v>
      </c>
      <c r="Y689" s="142">
        <v>1900.0</v>
      </c>
      <c r="Z689" s="103">
        <v>3.0</v>
      </c>
      <c r="AA689" s="142" t="s">
        <v>501</v>
      </c>
      <c r="AB689" s="105">
        <v>3393.33</v>
      </c>
      <c r="AC689" s="1"/>
      <c r="AD689" s="1"/>
      <c r="AE689" s="1"/>
      <c r="AF689" s="1"/>
      <c r="AG689" s="1"/>
    </row>
    <row r="690">
      <c r="A690" s="1"/>
      <c r="B690" s="1"/>
      <c r="C690" s="75"/>
      <c r="D690" s="1"/>
      <c r="E690" s="1"/>
      <c r="F690" s="1"/>
      <c r="G690" s="1"/>
      <c r="H690" s="1"/>
      <c r="I690" s="76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01" t="s">
        <v>1146</v>
      </c>
      <c r="V690" s="91" t="s">
        <v>1157</v>
      </c>
      <c r="W690" s="142">
        <v>192.0</v>
      </c>
      <c r="X690" s="142">
        <v>1536.0</v>
      </c>
      <c r="Y690" s="142">
        <v>1900.0</v>
      </c>
      <c r="Z690" s="103">
        <v>6.0</v>
      </c>
      <c r="AA690" s="142" t="s">
        <v>294</v>
      </c>
      <c r="AB690" s="105">
        <v>6786.65</v>
      </c>
      <c r="AC690" s="1"/>
      <c r="AD690" s="1"/>
      <c r="AE690" s="1"/>
      <c r="AF690" s="1"/>
      <c r="AG690" s="1"/>
    </row>
    <row r="691">
      <c r="A691" s="1"/>
      <c r="B691" s="1"/>
      <c r="C691" s="75"/>
      <c r="D691" s="1"/>
      <c r="E691" s="1"/>
      <c r="F691" s="1"/>
      <c r="G691" s="1"/>
      <c r="H691" s="1"/>
      <c r="I691" s="76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01" t="s">
        <v>1158</v>
      </c>
      <c r="V691" s="91" t="s">
        <v>1159</v>
      </c>
      <c r="W691" s="142">
        <v>1.0</v>
      </c>
      <c r="X691" s="142">
        <v>0.613</v>
      </c>
      <c r="Y691" s="142">
        <v>0.0</v>
      </c>
      <c r="Z691" s="103">
        <v>0.0</v>
      </c>
      <c r="AA691" s="142" t="s">
        <v>1160</v>
      </c>
      <c r="AB691" s="105">
        <v>10.22</v>
      </c>
      <c r="AC691" s="1"/>
      <c r="AD691" s="1"/>
      <c r="AE691" s="1"/>
      <c r="AF691" s="1"/>
      <c r="AG691" s="1"/>
    </row>
    <row r="692">
      <c r="A692" s="1"/>
      <c r="B692" s="1"/>
      <c r="C692" s="75"/>
      <c r="D692" s="1"/>
      <c r="E692" s="1"/>
      <c r="F692" s="1"/>
      <c r="G692" s="1"/>
      <c r="H692" s="1"/>
      <c r="I692" s="76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01" t="s">
        <v>1161</v>
      </c>
      <c r="V692" s="91" t="s">
        <v>1162</v>
      </c>
      <c r="W692" s="143" t="s">
        <v>1163</v>
      </c>
      <c r="X692" s="142">
        <v>4.0</v>
      </c>
      <c r="Y692" s="142">
        <v>0.0</v>
      </c>
      <c r="Z692" s="103">
        <v>0.0</v>
      </c>
      <c r="AA692" s="142" t="s">
        <v>1164</v>
      </c>
      <c r="AB692" s="105">
        <v>20.95</v>
      </c>
      <c r="AC692" s="1"/>
      <c r="AD692" s="1"/>
      <c r="AE692" s="1"/>
      <c r="AF692" s="1"/>
      <c r="AG692" s="1"/>
    </row>
    <row r="693">
      <c r="A693" s="1"/>
      <c r="B693" s="1"/>
      <c r="C693" s="75"/>
      <c r="D693" s="1"/>
      <c r="E693" s="1"/>
      <c r="F693" s="1"/>
      <c r="G693" s="1"/>
      <c r="H693" s="1"/>
      <c r="I693" s="76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01" t="s">
        <v>1165</v>
      </c>
      <c r="V693" s="91" t="s">
        <v>1166</v>
      </c>
      <c r="W693" s="143" t="s">
        <v>1167</v>
      </c>
      <c r="X693" s="142">
        <v>8.0</v>
      </c>
      <c r="Y693" s="142">
        <v>0.0</v>
      </c>
      <c r="Z693" s="103">
        <v>0.0</v>
      </c>
      <c r="AA693" s="142" t="s">
        <v>1164</v>
      </c>
      <c r="AB693" s="105">
        <v>41.98</v>
      </c>
      <c r="AC693" s="1"/>
      <c r="AD693" s="1"/>
      <c r="AE693" s="1"/>
      <c r="AF693" s="1"/>
      <c r="AG693" s="1"/>
    </row>
    <row r="694">
      <c r="A694" s="1"/>
      <c r="B694" s="1"/>
      <c r="C694" s="75"/>
      <c r="D694" s="1"/>
      <c r="E694" s="1"/>
      <c r="F694" s="1"/>
      <c r="G694" s="1"/>
      <c r="H694" s="1"/>
      <c r="I694" s="76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01" t="s">
        <v>1165</v>
      </c>
      <c r="V694" s="91" t="s">
        <v>1168</v>
      </c>
      <c r="W694" s="143" t="s">
        <v>1169</v>
      </c>
      <c r="X694" s="142">
        <v>16.0</v>
      </c>
      <c r="Y694" s="142">
        <v>0.0</v>
      </c>
      <c r="Z694" s="103">
        <v>0.0</v>
      </c>
      <c r="AA694" s="142" t="s">
        <v>136</v>
      </c>
      <c r="AB694" s="105">
        <v>83.95</v>
      </c>
      <c r="AC694" s="1"/>
      <c r="AD694" s="1"/>
      <c r="AE694" s="1"/>
      <c r="AF694" s="1"/>
      <c r="AG694" s="1"/>
    </row>
    <row r="695">
      <c r="A695" s="1"/>
      <c r="B695" s="1"/>
      <c r="C695" s="75"/>
      <c r="D695" s="1"/>
      <c r="E695" s="1"/>
      <c r="F695" s="1"/>
      <c r="G695" s="1"/>
      <c r="H695" s="1"/>
      <c r="I695" s="76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01" t="s">
        <v>1165</v>
      </c>
      <c r="V695" s="91" t="s">
        <v>1170</v>
      </c>
      <c r="W695" s="143" t="s">
        <v>1171</v>
      </c>
      <c r="X695" s="142">
        <v>32.0</v>
      </c>
      <c r="Y695" s="142">
        <v>0.0</v>
      </c>
      <c r="Z695" s="103">
        <v>0.0</v>
      </c>
      <c r="AA695" s="142" t="s">
        <v>136</v>
      </c>
      <c r="AB695" s="105">
        <v>167.9</v>
      </c>
      <c r="AC695" s="1"/>
      <c r="AD695" s="1"/>
      <c r="AE695" s="1"/>
      <c r="AF695" s="1"/>
      <c r="AG695" s="1"/>
    </row>
    <row r="696">
      <c r="A696" s="1"/>
      <c r="B696" s="1"/>
      <c r="C696" s="75"/>
      <c r="D696" s="1"/>
      <c r="E696" s="1"/>
      <c r="F696" s="1"/>
      <c r="G696" s="1"/>
      <c r="H696" s="1"/>
      <c r="I696" s="76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01" t="s">
        <v>1165</v>
      </c>
      <c r="V696" s="91" t="s">
        <v>1172</v>
      </c>
      <c r="W696" s="143" t="s">
        <v>1173</v>
      </c>
      <c r="X696" s="142">
        <v>1.0</v>
      </c>
      <c r="Y696" s="142">
        <v>0.0</v>
      </c>
      <c r="Z696" s="103">
        <v>0.0</v>
      </c>
      <c r="AA696" s="142" t="s">
        <v>1164</v>
      </c>
      <c r="AB696" s="105">
        <v>5.26</v>
      </c>
      <c r="AC696" s="1"/>
      <c r="AD696" s="1"/>
      <c r="AE696" s="1"/>
      <c r="AF696" s="1"/>
      <c r="AG696" s="1"/>
    </row>
    <row r="697">
      <c r="A697" s="1"/>
      <c r="B697" s="1"/>
      <c r="C697" s="75"/>
      <c r="D697" s="1"/>
      <c r="E697" s="1"/>
      <c r="F697" s="1"/>
      <c r="G697" s="1"/>
      <c r="H697" s="1"/>
      <c r="I697" s="76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01" t="s">
        <v>1165</v>
      </c>
      <c r="V697" s="91" t="s">
        <v>1174</v>
      </c>
      <c r="W697" s="143" t="s">
        <v>1175</v>
      </c>
      <c r="X697" s="142">
        <v>0.5</v>
      </c>
      <c r="Y697" s="142">
        <v>0.0</v>
      </c>
      <c r="Z697" s="103">
        <v>0.0</v>
      </c>
      <c r="AA697" s="142" t="s">
        <v>1164</v>
      </c>
      <c r="AB697" s="105">
        <v>2.63</v>
      </c>
      <c r="AC697" s="1"/>
      <c r="AD697" s="1"/>
      <c r="AE697" s="1"/>
      <c r="AF697" s="1"/>
      <c r="AG697" s="1"/>
    </row>
    <row r="698">
      <c r="A698" s="1"/>
      <c r="B698" s="1"/>
      <c r="C698" s="75"/>
      <c r="D698" s="1"/>
      <c r="E698" s="1"/>
      <c r="F698" s="1"/>
      <c r="G698" s="1"/>
      <c r="H698" s="1"/>
      <c r="I698" s="76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01" t="s">
        <v>1165</v>
      </c>
      <c r="V698" s="91" t="s">
        <v>1176</v>
      </c>
      <c r="W698" s="143" t="s">
        <v>1177</v>
      </c>
      <c r="X698" s="142">
        <v>2.0</v>
      </c>
      <c r="Y698" s="142">
        <v>0.0</v>
      </c>
      <c r="Z698" s="103">
        <v>0.0</v>
      </c>
      <c r="AA698" s="142" t="s">
        <v>1164</v>
      </c>
      <c r="AB698" s="105">
        <v>10.51</v>
      </c>
      <c r="AC698" s="1"/>
      <c r="AD698" s="1"/>
      <c r="AE698" s="1"/>
      <c r="AF698" s="1"/>
      <c r="AG698" s="1"/>
    </row>
    <row r="699">
      <c r="A699" s="1"/>
      <c r="B699" s="1"/>
      <c r="C699" s="75"/>
      <c r="D699" s="1"/>
      <c r="E699" s="1"/>
      <c r="F699" s="1"/>
      <c r="G699" s="1"/>
      <c r="H699" s="1"/>
      <c r="I699" s="76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01" t="s">
        <v>1178</v>
      </c>
      <c r="V699" s="91" t="s">
        <v>1179</v>
      </c>
      <c r="W699" s="143" t="s">
        <v>1180</v>
      </c>
      <c r="X699" s="142">
        <v>4.0</v>
      </c>
      <c r="Y699" s="142">
        <v>0.0</v>
      </c>
      <c r="Z699" s="103">
        <v>0.0</v>
      </c>
      <c r="AA699" s="142" t="s">
        <v>1181</v>
      </c>
      <c r="AB699" s="105">
        <v>19.05</v>
      </c>
      <c r="AC699" s="1"/>
      <c r="AD699" s="1"/>
      <c r="AE699" s="1"/>
      <c r="AF699" s="1"/>
      <c r="AG699" s="1"/>
    </row>
    <row r="700">
      <c r="A700" s="1"/>
      <c r="B700" s="1"/>
      <c r="C700" s="75"/>
      <c r="D700" s="1"/>
      <c r="E700" s="1"/>
      <c r="F700" s="1"/>
      <c r="G700" s="1"/>
      <c r="H700" s="1"/>
      <c r="I700" s="76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01" t="s">
        <v>1182</v>
      </c>
      <c r="V700" s="91" t="s">
        <v>1183</v>
      </c>
      <c r="W700" s="143" t="s">
        <v>1184</v>
      </c>
      <c r="X700" s="142">
        <v>8.0</v>
      </c>
      <c r="Y700" s="142">
        <v>0.0</v>
      </c>
      <c r="Z700" s="103">
        <v>0.0</v>
      </c>
      <c r="AA700" s="142" t="s">
        <v>1181</v>
      </c>
      <c r="AB700" s="105">
        <v>38.11</v>
      </c>
      <c r="AC700" s="1"/>
      <c r="AD700" s="1"/>
      <c r="AE700" s="1"/>
      <c r="AF700" s="1"/>
      <c r="AG700" s="1"/>
    </row>
    <row r="701">
      <c r="A701" s="1"/>
      <c r="B701" s="1"/>
      <c r="C701" s="75"/>
      <c r="D701" s="1"/>
      <c r="E701" s="1"/>
      <c r="F701" s="1"/>
      <c r="G701" s="1"/>
      <c r="H701" s="1"/>
      <c r="I701" s="76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01" t="s">
        <v>1182</v>
      </c>
      <c r="V701" s="91" t="s">
        <v>1185</v>
      </c>
      <c r="W701" s="143" t="s">
        <v>1186</v>
      </c>
      <c r="X701" s="142">
        <v>16.0</v>
      </c>
      <c r="Y701" s="142">
        <v>0.0</v>
      </c>
      <c r="Z701" s="103">
        <v>0.0</v>
      </c>
      <c r="AA701" s="142" t="s">
        <v>1181</v>
      </c>
      <c r="AB701" s="105">
        <v>76.14</v>
      </c>
      <c r="AC701" s="1"/>
      <c r="AD701" s="1"/>
      <c r="AE701" s="1"/>
      <c r="AF701" s="1"/>
      <c r="AG701" s="1"/>
    </row>
    <row r="702">
      <c r="A702" s="1"/>
      <c r="B702" s="1"/>
      <c r="C702" s="75"/>
      <c r="D702" s="1"/>
      <c r="E702" s="1"/>
      <c r="F702" s="1"/>
      <c r="G702" s="1"/>
      <c r="H702" s="1"/>
      <c r="I702" s="76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01" t="s">
        <v>1182</v>
      </c>
      <c r="V702" s="91" t="s">
        <v>1187</v>
      </c>
      <c r="W702" s="143" t="s">
        <v>1188</v>
      </c>
      <c r="X702" s="142">
        <v>32.0</v>
      </c>
      <c r="Y702" s="142">
        <v>0.0</v>
      </c>
      <c r="Z702" s="103">
        <v>0.0</v>
      </c>
      <c r="AA702" s="142" t="s">
        <v>1181</v>
      </c>
      <c r="AB702" s="105">
        <v>152.28</v>
      </c>
      <c r="AC702" s="1"/>
      <c r="AD702" s="1"/>
      <c r="AE702" s="1"/>
      <c r="AF702" s="1"/>
      <c r="AG702" s="1"/>
    </row>
    <row r="703">
      <c r="A703" s="1"/>
      <c r="B703" s="1"/>
      <c r="C703" s="75"/>
      <c r="D703" s="1"/>
      <c r="E703" s="1"/>
      <c r="F703" s="1"/>
      <c r="G703" s="1"/>
      <c r="H703" s="1"/>
      <c r="I703" s="76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01" t="s">
        <v>1182</v>
      </c>
      <c r="V703" s="91" t="s">
        <v>1189</v>
      </c>
      <c r="W703" s="143" t="s">
        <v>1190</v>
      </c>
      <c r="X703" s="142">
        <v>1.0</v>
      </c>
      <c r="Y703" s="142">
        <v>0.0</v>
      </c>
      <c r="Z703" s="103">
        <v>0.0</v>
      </c>
      <c r="AA703" s="142" t="s">
        <v>1181</v>
      </c>
      <c r="AB703" s="105">
        <v>4.75</v>
      </c>
      <c r="AC703" s="1"/>
      <c r="AD703" s="1"/>
      <c r="AE703" s="1"/>
      <c r="AF703" s="1"/>
      <c r="AG703" s="1"/>
    </row>
    <row r="704">
      <c r="A704" s="1"/>
      <c r="B704" s="1"/>
      <c r="C704" s="75"/>
      <c r="D704" s="1"/>
      <c r="E704" s="1"/>
      <c r="F704" s="1"/>
      <c r="G704" s="1"/>
      <c r="H704" s="1"/>
      <c r="I704" s="76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01" t="s">
        <v>1182</v>
      </c>
      <c r="V704" s="91" t="s">
        <v>1191</v>
      </c>
      <c r="W704" s="143" t="s">
        <v>1192</v>
      </c>
      <c r="X704" s="142">
        <v>0.5</v>
      </c>
      <c r="Y704" s="142">
        <v>0.0</v>
      </c>
      <c r="Z704" s="103">
        <v>0.0</v>
      </c>
      <c r="AA704" s="142" t="s">
        <v>1181</v>
      </c>
      <c r="AB704" s="105">
        <v>2.41</v>
      </c>
      <c r="AC704" s="1"/>
      <c r="AD704" s="1"/>
      <c r="AE704" s="1"/>
      <c r="AF704" s="1"/>
      <c r="AG704" s="1"/>
    </row>
    <row r="705">
      <c r="A705" s="1"/>
      <c r="B705" s="1"/>
      <c r="C705" s="75"/>
      <c r="D705" s="1"/>
      <c r="E705" s="1"/>
      <c r="F705" s="1"/>
      <c r="G705" s="1"/>
      <c r="H705" s="1"/>
      <c r="I705" s="76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01" t="s">
        <v>1182</v>
      </c>
      <c r="V705" s="91" t="s">
        <v>1193</v>
      </c>
      <c r="W705" s="143" t="s">
        <v>1194</v>
      </c>
      <c r="X705" s="142">
        <v>2.0</v>
      </c>
      <c r="Y705" s="142">
        <v>0.0</v>
      </c>
      <c r="Z705" s="103">
        <v>0.0</v>
      </c>
      <c r="AA705" s="142" t="s">
        <v>1181</v>
      </c>
      <c r="AB705" s="105">
        <v>9.49</v>
      </c>
      <c r="AC705" s="1"/>
      <c r="AD705" s="1"/>
      <c r="AE705" s="1"/>
      <c r="AF705" s="1"/>
      <c r="AG705" s="1"/>
    </row>
    <row r="706">
      <c r="A706" s="1"/>
      <c r="B706" s="1"/>
      <c r="C706" s="75"/>
      <c r="D706" s="1"/>
      <c r="E706" s="1"/>
      <c r="F706" s="1"/>
      <c r="G706" s="1"/>
      <c r="H706" s="1"/>
      <c r="I706" s="76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01" t="s">
        <v>1195</v>
      </c>
      <c r="V706" s="91" t="s">
        <v>1196</v>
      </c>
      <c r="W706" s="143" t="s">
        <v>1197</v>
      </c>
      <c r="X706" s="142">
        <v>4.0</v>
      </c>
      <c r="Y706" s="142">
        <v>0.0</v>
      </c>
      <c r="Z706" s="103">
        <v>0.0</v>
      </c>
      <c r="AA706" s="142" t="s">
        <v>1181</v>
      </c>
      <c r="AB706" s="105">
        <v>17.23</v>
      </c>
      <c r="AC706" s="1"/>
      <c r="AD706" s="1"/>
      <c r="AE706" s="1"/>
      <c r="AF706" s="1"/>
      <c r="AG706" s="1"/>
    </row>
    <row r="707">
      <c r="A707" s="1"/>
      <c r="B707" s="1"/>
      <c r="C707" s="75"/>
      <c r="D707" s="1"/>
      <c r="E707" s="1"/>
      <c r="F707" s="1"/>
      <c r="G707" s="1"/>
      <c r="H707" s="1"/>
      <c r="I707" s="76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01" t="s">
        <v>1198</v>
      </c>
      <c r="V707" s="91" t="s">
        <v>1199</v>
      </c>
      <c r="W707" s="143" t="s">
        <v>1200</v>
      </c>
      <c r="X707" s="142">
        <v>8.0</v>
      </c>
      <c r="Y707" s="142">
        <v>0.0</v>
      </c>
      <c r="Z707" s="103">
        <v>0.0</v>
      </c>
      <c r="AA707" s="142" t="s">
        <v>1181</v>
      </c>
      <c r="AB707" s="105">
        <v>34.38</v>
      </c>
      <c r="AC707" s="1"/>
      <c r="AD707" s="1"/>
      <c r="AE707" s="1"/>
      <c r="AF707" s="1"/>
      <c r="AG707" s="1"/>
    </row>
    <row r="708">
      <c r="A708" s="1"/>
      <c r="B708" s="1"/>
      <c r="C708" s="75"/>
      <c r="D708" s="1"/>
      <c r="E708" s="1"/>
      <c r="F708" s="1"/>
      <c r="G708" s="1"/>
      <c r="H708" s="1"/>
      <c r="I708" s="76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01" t="s">
        <v>1198</v>
      </c>
      <c r="V708" s="91" t="s">
        <v>1201</v>
      </c>
      <c r="W708" s="143" t="s">
        <v>1202</v>
      </c>
      <c r="X708" s="142">
        <v>16.0</v>
      </c>
      <c r="Y708" s="142">
        <v>0.0</v>
      </c>
      <c r="Z708" s="103">
        <v>0.0</v>
      </c>
      <c r="AA708" s="142" t="s">
        <v>1181</v>
      </c>
      <c r="AB708" s="105">
        <v>68.84</v>
      </c>
      <c r="AC708" s="1"/>
      <c r="AD708" s="1"/>
      <c r="AE708" s="1"/>
      <c r="AF708" s="1"/>
      <c r="AG708" s="1"/>
    </row>
    <row r="709">
      <c r="A709" s="1"/>
      <c r="B709" s="1"/>
      <c r="C709" s="75"/>
      <c r="D709" s="1"/>
      <c r="E709" s="1"/>
      <c r="F709" s="1"/>
      <c r="G709" s="1"/>
      <c r="H709" s="1"/>
      <c r="I709" s="76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01" t="s">
        <v>1198</v>
      </c>
      <c r="V709" s="91" t="s">
        <v>1203</v>
      </c>
      <c r="W709" s="143" t="s">
        <v>1204</v>
      </c>
      <c r="X709" s="142">
        <v>32.0</v>
      </c>
      <c r="Y709" s="142">
        <v>0.0</v>
      </c>
      <c r="Z709" s="103">
        <v>0.0</v>
      </c>
      <c r="AA709" s="142" t="s">
        <v>1181</v>
      </c>
      <c r="AB709" s="105">
        <v>137.68</v>
      </c>
      <c r="AC709" s="1"/>
      <c r="AD709" s="1"/>
      <c r="AE709" s="1"/>
      <c r="AF709" s="1"/>
      <c r="AG709" s="1"/>
    </row>
    <row r="710">
      <c r="A710" s="1"/>
      <c r="B710" s="1"/>
      <c r="C710" s="75"/>
      <c r="D710" s="1"/>
      <c r="E710" s="1"/>
      <c r="F710" s="1"/>
      <c r="G710" s="1"/>
      <c r="H710" s="1"/>
      <c r="I710" s="76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01" t="s">
        <v>1198</v>
      </c>
      <c r="V710" s="91" t="s">
        <v>1205</v>
      </c>
      <c r="W710" s="143" t="s">
        <v>1206</v>
      </c>
      <c r="X710" s="142">
        <v>1.0</v>
      </c>
      <c r="Y710" s="142">
        <v>0.0</v>
      </c>
      <c r="Z710" s="103">
        <v>0.0</v>
      </c>
      <c r="AA710" s="142" t="s">
        <v>1181</v>
      </c>
      <c r="AB710" s="105">
        <v>4.31</v>
      </c>
      <c r="AC710" s="1"/>
      <c r="AD710" s="1"/>
      <c r="AE710" s="1"/>
      <c r="AF710" s="1"/>
      <c r="AG710" s="1"/>
    </row>
    <row r="711">
      <c r="A711" s="1"/>
      <c r="B711" s="1"/>
      <c r="C711" s="75"/>
      <c r="D711" s="1"/>
      <c r="E711" s="1"/>
      <c r="F711" s="1"/>
      <c r="G711" s="1"/>
      <c r="H711" s="1"/>
      <c r="I711" s="76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01" t="s">
        <v>1198</v>
      </c>
      <c r="V711" s="91" t="s">
        <v>1207</v>
      </c>
      <c r="W711" s="143" t="s">
        <v>1208</v>
      </c>
      <c r="X711" s="142">
        <v>0.5</v>
      </c>
      <c r="Y711" s="142">
        <v>0.0</v>
      </c>
      <c r="Z711" s="103">
        <v>0.0</v>
      </c>
      <c r="AA711" s="142" t="s">
        <v>1181</v>
      </c>
      <c r="AB711" s="105">
        <v>2.12</v>
      </c>
      <c r="AC711" s="1"/>
      <c r="AD711" s="1"/>
      <c r="AE711" s="1"/>
      <c r="AF711" s="1"/>
      <c r="AG711" s="1"/>
    </row>
    <row r="712">
      <c r="A712" s="1"/>
      <c r="B712" s="1"/>
      <c r="C712" s="75"/>
      <c r="D712" s="1"/>
      <c r="E712" s="1"/>
      <c r="F712" s="1"/>
      <c r="G712" s="1"/>
      <c r="H712" s="1"/>
      <c r="I712" s="76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01" t="s">
        <v>1198</v>
      </c>
      <c r="V712" s="91" t="s">
        <v>1209</v>
      </c>
      <c r="W712" s="143" t="s">
        <v>1210</v>
      </c>
      <c r="X712" s="142">
        <v>2.0</v>
      </c>
      <c r="Y712" s="142">
        <v>0.0</v>
      </c>
      <c r="Z712" s="103">
        <v>0.0</v>
      </c>
      <c r="AA712" s="142" t="s">
        <v>1181</v>
      </c>
      <c r="AB712" s="105">
        <v>8.61</v>
      </c>
      <c r="AC712" s="1"/>
      <c r="AD712" s="1"/>
      <c r="AE712" s="1"/>
      <c r="AF712" s="1"/>
      <c r="AG712" s="1"/>
    </row>
    <row r="713">
      <c r="A713" s="1"/>
      <c r="B713" s="1"/>
      <c r="C713" s="75"/>
      <c r="D713" s="1"/>
      <c r="E713" s="1"/>
      <c r="F713" s="1"/>
      <c r="G713" s="1"/>
      <c r="H713" s="1"/>
      <c r="I713" s="76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01" t="s">
        <v>1211</v>
      </c>
      <c r="V713" s="91" t="s">
        <v>1212</v>
      </c>
      <c r="W713" s="143" t="s">
        <v>1213</v>
      </c>
      <c r="X713" s="142">
        <v>4.0</v>
      </c>
      <c r="Y713" s="142">
        <v>0.0</v>
      </c>
      <c r="Z713" s="103">
        <v>0.0</v>
      </c>
      <c r="AA713" s="142" t="s">
        <v>1181</v>
      </c>
      <c r="AB713" s="105">
        <v>15.4</v>
      </c>
      <c r="AC713" s="1"/>
      <c r="AD713" s="1"/>
      <c r="AE713" s="1"/>
      <c r="AF713" s="1"/>
      <c r="AG713" s="1"/>
    </row>
    <row r="714">
      <c r="A714" s="1"/>
      <c r="B714" s="1"/>
      <c r="C714" s="75"/>
      <c r="D714" s="1"/>
      <c r="E714" s="1"/>
      <c r="F714" s="1"/>
      <c r="G714" s="1"/>
      <c r="H714" s="1"/>
      <c r="I714" s="76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01" t="s">
        <v>1214</v>
      </c>
      <c r="V714" s="91" t="s">
        <v>1215</v>
      </c>
      <c r="W714" s="143" t="s">
        <v>1216</v>
      </c>
      <c r="X714" s="142">
        <v>8.0</v>
      </c>
      <c r="Y714" s="142">
        <v>0.0</v>
      </c>
      <c r="Z714" s="103">
        <v>0.0</v>
      </c>
      <c r="AA714" s="142" t="s">
        <v>1181</v>
      </c>
      <c r="AB714" s="105">
        <v>30.73</v>
      </c>
      <c r="AC714" s="1"/>
      <c r="AD714" s="1"/>
      <c r="AE714" s="1"/>
      <c r="AF714" s="1"/>
      <c r="AG714" s="1"/>
    </row>
    <row r="715">
      <c r="A715" s="1"/>
      <c r="B715" s="1"/>
      <c r="C715" s="75"/>
      <c r="D715" s="1"/>
      <c r="E715" s="1"/>
      <c r="F715" s="1"/>
      <c r="G715" s="1"/>
      <c r="H715" s="1"/>
      <c r="I715" s="76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01" t="s">
        <v>1214</v>
      </c>
      <c r="V715" s="91" t="s">
        <v>1217</v>
      </c>
      <c r="W715" s="143" t="s">
        <v>1218</v>
      </c>
      <c r="X715" s="142">
        <v>16.0</v>
      </c>
      <c r="Y715" s="142">
        <v>0.0</v>
      </c>
      <c r="Z715" s="103">
        <v>0.0</v>
      </c>
      <c r="AA715" s="142" t="s">
        <v>1181</v>
      </c>
      <c r="AB715" s="105">
        <v>61.54</v>
      </c>
      <c r="AC715" s="1"/>
      <c r="AD715" s="1"/>
      <c r="AE715" s="1"/>
      <c r="AF715" s="1"/>
      <c r="AG715" s="1"/>
    </row>
    <row r="716">
      <c r="A716" s="1"/>
      <c r="B716" s="1"/>
      <c r="C716" s="75"/>
      <c r="D716" s="1"/>
      <c r="E716" s="1"/>
      <c r="F716" s="1"/>
      <c r="G716" s="1"/>
      <c r="H716" s="1"/>
      <c r="I716" s="76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01" t="s">
        <v>1214</v>
      </c>
      <c r="V716" s="91" t="s">
        <v>1219</v>
      </c>
      <c r="W716" s="143" t="s">
        <v>1220</v>
      </c>
      <c r="X716" s="142">
        <v>32.0</v>
      </c>
      <c r="Y716" s="142">
        <v>0.0</v>
      </c>
      <c r="Z716" s="103">
        <v>0.0</v>
      </c>
      <c r="AA716" s="142" t="s">
        <v>1181</v>
      </c>
      <c r="AB716" s="105">
        <v>123.08</v>
      </c>
      <c r="AC716" s="1"/>
      <c r="AD716" s="1"/>
      <c r="AE716" s="1"/>
      <c r="AF716" s="1"/>
      <c r="AG716" s="1"/>
    </row>
    <row r="717">
      <c r="A717" s="1"/>
      <c r="B717" s="1"/>
      <c r="C717" s="75"/>
      <c r="D717" s="1"/>
      <c r="E717" s="1"/>
      <c r="F717" s="1"/>
      <c r="G717" s="1"/>
      <c r="H717" s="1"/>
      <c r="I717" s="76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01" t="s">
        <v>1214</v>
      </c>
      <c r="V717" s="91" t="s">
        <v>1221</v>
      </c>
      <c r="W717" s="143" t="s">
        <v>1222</v>
      </c>
      <c r="X717" s="142">
        <v>1.0</v>
      </c>
      <c r="Y717" s="142">
        <v>0.0</v>
      </c>
      <c r="Z717" s="103">
        <v>0.0</v>
      </c>
      <c r="AA717" s="142" t="s">
        <v>1181</v>
      </c>
      <c r="AB717" s="105">
        <v>3.87</v>
      </c>
      <c r="AC717" s="1"/>
      <c r="AD717" s="1"/>
      <c r="AE717" s="1"/>
      <c r="AF717" s="1"/>
      <c r="AG717" s="1"/>
    </row>
    <row r="718">
      <c r="A718" s="1"/>
      <c r="B718" s="1"/>
      <c r="C718" s="75"/>
      <c r="D718" s="1"/>
      <c r="E718" s="1"/>
      <c r="F718" s="1"/>
      <c r="G718" s="1"/>
      <c r="H718" s="1"/>
      <c r="I718" s="76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01" t="s">
        <v>1214</v>
      </c>
      <c r="V718" s="91" t="s">
        <v>1223</v>
      </c>
      <c r="W718" s="143" t="s">
        <v>1224</v>
      </c>
      <c r="X718" s="142">
        <v>0.5</v>
      </c>
      <c r="Y718" s="142">
        <v>0.0</v>
      </c>
      <c r="Z718" s="103">
        <v>0.0</v>
      </c>
      <c r="AA718" s="142" t="s">
        <v>1181</v>
      </c>
      <c r="AB718" s="105">
        <v>1.9</v>
      </c>
      <c r="AC718" s="1"/>
      <c r="AD718" s="1"/>
      <c r="AE718" s="1"/>
      <c r="AF718" s="1"/>
      <c r="AG718" s="1"/>
    </row>
    <row r="719">
      <c r="A719" s="1"/>
      <c r="B719" s="1"/>
      <c r="C719" s="75"/>
      <c r="D719" s="1"/>
      <c r="E719" s="1"/>
      <c r="F719" s="1"/>
      <c r="G719" s="1"/>
      <c r="H719" s="1"/>
      <c r="I719" s="76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01" t="s">
        <v>1214</v>
      </c>
      <c r="V719" s="91" t="s">
        <v>1225</v>
      </c>
      <c r="W719" s="143" t="s">
        <v>1226</v>
      </c>
      <c r="X719" s="142">
        <v>2.0</v>
      </c>
      <c r="Y719" s="142">
        <v>0.0</v>
      </c>
      <c r="Z719" s="103">
        <v>0.0</v>
      </c>
      <c r="AA719" s="142" t="s">
        <v>1181</v>
      </c>
      <c r="AB719" s="105">
        <v>7.67</v>
      </c>
      <c r="AC719" s="1"/>
      <c r="AD719" s="1"/>
      <c r="AE719" s="1"/>
      <c r="AF719" s="1"/>
      <c r="AG719" s="1"/>
    </row>
    <row r="720">
      <c r="A720" s="1"/>
      <c r="B720" s="1"/>
      <c r="C720" s="75"/>
      <c r="D720" s="1"/>
      <c r="E720" s="1"/>
      <c r="F720" s="1"/>
      <c r="G720" s="1"/>
      <c r="H720" s="1"/>
      <c r="I720" s="76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01" t="s">
        <v>1227</v>
      </c>
      <c r="V720" s="91" t="s">
        <v>1228</v>
      </c>
      <c r="W720" s="142">
        <v>448.0</v>
      </c>
      <c r="X720" s="142">
        <v>12288.0</v>
      </c>
      <c r="Y720" s="142">
        <v>0.0</v>
      </c>
      <c r="Z720" s="103">
        <v>0.0</v>
      </c>
      <c r="AA720" s="142" t="s">
        <v>296</v>
      </c>
      <c r="AB720" s="105">
        <v>49132.96</v>
      </c>
      <c r="AC720" s="1"/>
      <c r="AD720" s="1"/>
      <c r="AE720" s="1"/>
      <c r="AF720" s="1"/>
      <c r="AG720" s="1"/>
    </row>
    <row r="721">
      <c r="A721" s="1"/>
      <c r="B721" s="1"/>
      <c r="C721" s="75"/>
      <c r="D721" s="1"/>
      <c r="E721" s="1"/>
      <c r="F721" s="1"/>
      <c r="G721" s="1"/>
      <c r="H721" s="1"/>
      <c r="I721" s="76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01" t="s">
        <v>1229</v>
      </c>
      <c r="V721" s="91" t="s">
        <v>1230</v>
      </c>
      <c r="W721" s="142">
        <v>448.0</v>
      </c>
      <c r="X721" s="142">
        <v>18432.0</v>
      </c>
      <c r="Y721" s="142">
        <v>0.0</v>
      </c>
      <c r="Z721" s="103">
        <v>0.0</v>
      </c>
      <c r="AA721" s="142" t="s">
        <v>296</v>
      </c>
      <c r="AB721" s="105">
        <v>73686.88</v>
      </c>
      <c r="AC721" s="1"/>
      <c r="AD721" s="1"/>
      <c r="AE721" s="1"/>
      <c r="AF721" s="1"/>
      <c r="AG721" s="1"/>
    </row>
    <row r="722">
      <c r="A722" s="1"/>
      <c r="B722" s="1"/>
      <c r="C722" s="75"/>
      <c r="D722" s="1"/>
      <c r="E722" s="1"/>
      <c r="F722" s="1"/>
      <c r="G722" s="1"/>
      <c r="H722" s="1"/>
      <c r="I722" s="76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01" t="s">
        <v>1231</v>
      </c>
      <c r="V722" s="91" t="s">
        <v>1232</v>
      </c>
      <c r="W722" s="142">
        <v>448.0</v>
      </c>
      <c r="X722" s="142">
        <v>24576.0</v>
      </c>
      <c r="Y722" s="142">
        <v>0.0</v>
      </c>
      <c r="Z722" s="103">
        <v>0.0</v>
      </c>
      <c r="AA722" s="142" t="s">
        <v>296</v>
      </c>
      <c r="AB722" s="105">
        <v>98249.17</v>
      </c>
      <c r="AC722" s="1"/>
      <c r="AD722" s="1"/>
      <c r="AE722" s="1"/>
      <c r="AF722" s="1"/>
      <c r="AG722" s="1"/>
    </row>
    <row r="723">
      <c r="A723" s="1"/>
      <c r="B723" s="1"/>
      <c r="C723" s="75"/>
      <c r="D723" s="1"/>
      <c r="E723" s="1"/>
      <c r="F723" s="1"/>
      <c r="G723" s="1"/>
      <c r="H723" s="1"/>
      <c r="I723" s="76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01" t="s">
        <v>1233</v>
      </c>
      <c r="V723" s="91" t="s">
        <v>1234</v>
      </c>
      <c r="W723" s="142">
        <v>224.0</v>
      </c>
      <c r="X723" s="142">
        <v>3072.0</v>
      </c>
      <c r="Y723" s="142">
        <v>0.0</v>
      </c>
      <c r="Z723" s="103">
        <v>0.0</v>
      </c>
      <c r="AA723" s="142" t="s">
        <v>294</v>
      </c>
      <c r="AB723" s="105">
        <v>12281.15</v>
      </c>
      <c r="AC723" s="1"/>
      <c r="AD723" s="1"/>
      <c r="AE723" s="1"/>
      <c r="AF723" s="1"/>
      <c r="AG723" s="1"/>
    </row>
    <row r="724">
      <c r="A724" s="1"/>
      <c r="B724" s="1"/>
      <c r="C724" s="75"/>
      <c r="D724" s="1"/>
      <c r="E724" s="1"/>
      <c r="F724" s="1"/>
      <c r="G724" s="1"/>
      <c r="H724" s="1"/>
      <c r="I724" s="76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01" t="s">
        <v>1235</v>
      </c>
      <c r="V724" s="91" t="s">
        <v>1236</v>
      </c>
      <c r="W724" s="142">
        <v>448.0</v>
      </c>
      <c r="X724" s="142">
        <v>6144.0</v>
      </c>
      <c r="Y724" s="142">
        <v>0.0</v>
      </c>
      <c r="Z724" s="103">
        <v>0.0</v>
      </c>
      <c r="AA724" s="142" t="s">
        <v>296</v>
      </c>
      <c r="AB724" s="105">
        <v>24562.3</v>
      </c>
      <c r="AC724" s="1"/>
      <c r="AD724" s="1"/>
      <c r="AE724" s="1"/>
      <c r="AF724" s="1"/>
      <c r="AG724" s="1"/>
    </row>
    <row r="725">
      <c r="A725" s="1"/>
      <c r="B725" s="1"/>
      <c r="C725" s="75"/>
      <c r="D725" s="1"/>
      <c r="E725" s="1"/>
      <c r="F725" s="1"/>
      <c r="G725" s="1"/>
      <c r="H725" s="1"/>
      <c r="I725" s="76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01" t="s">
        <v>1237</v>
      </c>
      <c r="V725" s="91" t="s">
        <v>1238</v>
      </c>
      <c r="W725" s="142">
        <v>224.0</v>
      </c>
      <c r="X725" s="142">
        <v>6144.0</v>
      </c>
      <c r="Y725" s="142">
        <v>0.0</v>
      </c>
      <c r="Z725" s="103">
        <v>0.0</v>
      </c>
      <c r="AA725" s="142" t="s">
        <v>296</v>
      </c>
      <c r="AB725" s="105">
        <v>20875.21</v>
      </c>
      <c r="AC725" s="1"/>
      <c r="AD725" s="1"/>
      <c r="AE725" s="1"/>
      <c r="AF725" s="1"/>
      <c r="AG725" s="1"/>
    </row>
    <row r="726">
      <c r="A726" s="1"/>
      <c r="B726" s="1"/>
      <c r="C726" s="75"/>
      <c r="D726" s="1"/>
      <c r="E726" s="1"/>
      <c r="F726" s="1"/>
      <c r="G726" s="1"/>
      <c r="H726" s="1"/>
      <c r="I726" s="76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01" t="s">
        <v>1239</v>
      </c>
      <c r="V726" s="91" t="s">
        <v>1240</v>
      </c>
      <c r="W726" s="142">
        <v>448.0</v>
      </c>
      <c r="X726" s="142">
        <v>9216.0</v>
      </c>
      <c r="Y726" s="142">
        <v>0.0</v>
      </c>
      <c r="Z726" s="103">
        <v>0.0</v>
      </c>
      <c r="AA726" s="142" t="s">
        <v>296</v>
      </c>
      <c r="AB726" s="105">
        <v>36849.72</v>
      </c>
      <c r="AC726" s="1"/>
      <c r="AD726" s="1"/>
      <c r="AE726" s="1"/>
      <c r="AF726" s="1"/>
      <c r="AG726" s="1"/>
    </row>
    <row r="727">
      <c r="A727" s="1"/>
      <c r="B727" s="1"/>
      <c r="C727" s="75"/>
      <c r="D727" s="1"/>
      <c r="E727" s="1"/>
      <c r="F727" s="1"/>
      <c r="G727" s="1"/>
      <c r="H727" s="1"/>
      <c r="I727" s="76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01" t="s">
        <v>1241</v>
      </c>
      <c r="V727" s="91" t="s">
        <v>1242</v>
      </c>
      <c r="W727" s="142">
        <v>896.0</v>
      </c>
      <c r="X727" s="142">
        <v>12288.0</v>
      </c>
      <c r="Y727" s="142">
        <v>0.0</v>
      </c>
      <c r="Z727" s="103">
        <v>0.0</v>
      </c>
      <c r="AA727" s="142" t="s">
        <v>296</v>
      </c>
      <c r="AB727" s="105">
        <v>60843.76</v>
      </c>
      <c r="AC727" s="1"/>
      <c r="AD727" s="1"/>
      <c r="AE727" s="1"/>
      <c r="AF727" s="1"/>
      <c r="AG727" s="1"/>
    </row>
    <row r="728">
      <c r="A728" s="1"/>
      <c r="B728" s="1"/>
      <c r="C728" s="75"/>
      <c r="D728" s="1"/>
      <c r="E728" s="1"/>
      <c r="F728" s="1"/>
      <c r="G728" s="1"/>
      <c r="H728" s="1"/>
      <c r="I728" s="76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01" t="s">
        <v>1243</v>
      </c>
      <c r="V728" s="91" t="s">
        <v>1244</v>
      </c>
      <c r="W728" s="142">
        <v>896.0</v>
      </c>
      <c r="X728" s="142">
        <v>16384.0</v>
      </c>
      <c r="Y728" s="142">
        <v>0.0</v>
      </c>
      <c r="Z728" s="103">
        <v>0.0</v>
      </c>
      <c r="AA728" s="142" t="s">
        <v>421</v>
      </c>
      <c r="AB728" s="105">
        <v>81188.53</v>
      </c>
      <c r="AC728" s="1"/>
      <c r="AD728" s="1"/>
      <c r="AE728" s="1"/>
      <c r="AF728" s="1"/>
      <c r="AG728" s="1"/>
    </row>
    <row r="729">
      <c r="A729" s="1"/>
      <c r="B729" s="1"/>
      <c r="C729" s="75"/>
      <c r="D729" s="1"/>
      <c r="E729" s="1"/>
      <c r="F729" s="1"/>
      <c r="G729" s="1"/>
      <c r="H729" s="1"/>
      <c r="I729" s="76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01" t="s">
        <v>1245</v>
      </c>
      <c r="V729" s="91" t="s">
        <v>1246</v>
      </c>
      <c r="W729" s="142">
        <v>896.0</v>
      </c>
      <c r="X729" s="142">
        <v>24576.0</v>
      </c>
      <c r="Y729" s="142">
        <v>0.0</v>
      </c>
      <c r="Z729" s="103">
        <v>0.0</v>
      </c>
      <c r="AA729" s="142" t="s">
        <v>421</v>
      </c>
      <c r="AB729" s="105">
        <v>121790.86</v>
      </c>
      <c r="AC729" s="1"/>
      <c r="AD729" s="1"/>
      <c r="AE729" s="1"/>
      <c r="AF729" s="1"/>
      <c r="AG729" s="1"/>
    </row>
    <row r="730">
      <c r="A730" s="1"/>
      <c r="B730" s="1"/>
      <c r="C730" s="75"/>
      <c r="D730" s="1"/>
      <c r="E730" s="1"/>
      <c r="F730" s="1"/>
      <c r="G730" s="1"/>
      <c r="H730" s="1"/>
      <c r="I730" s="76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01" t="s">
        <v>1247</v>
      </c>
      <c r="V730" s="91" t="s">
        <v>1248</v>
      </c>
      <c r="W730" s="142">
        <v>896.0</v>
      </c>
      <c r="X730" s="142">
        <v>32768.0</v>
      </c>
      <c r="Y730" s="142">
        <v>0.0</v>
      </c>
      <c r="Z730" s="103">
        <v>0.0</v>
      </c>
      <c r="AA730" s="142" t="s">
        <v>421</v>
      </c>
      <c r="AB730" s="105">
        <v>162393.17</v>
      </c>
      <c r="AC730" s="1"/>
      <c r="AD730" s="1"/>
      <c r="AE730" s="1"/>
      <c r="AF730" s="1"/>
      <c r="AG730" s="1"/>
    </row>
    <row r="731">
      <c r="A731" s="1"/>
      <c r="B731" s="1"/>
      <c r="C731" s="75"/>
      <c r="D731" s="1"/>
      <c r="E731" s="1"/>
      <c r="F731" s="1"/>
      <c r="G731" s="1"/>
      <c r="H731" s="1"/>
      <c r="I731" s="76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01" t="s">
        <v>1249</v>
      </c>
      <c r="V731" s="91" t="s">
        <v>1250</v>
      </c>
      <c r="W731" s="142">
        <v>12.0</v>
      </c>
      <c r="X731" s="142">
        <v>24.0</v>
      </c>
      <c r="Y731" s="142">
        <v>0.0</v>
      </c>
      <c r="Z731" s="103">
        <v>0.0</v>
      </c>
      <c r="AA731" s="142" t="s">
        <v>1251</v>
      </c>
      <c r="AB731" s="105">
        <v>298.94</v>
      </c>
      <c r="AC731" s="1"/>
      <c r="AD731" s="1"/>
      <c r="AE731" s="1"/>
      <c r="AF731" s="1"/>
      <c r="AG731" s="1"/>
    </row>
    <row r="732">
      <c r="A732" s="1"/>
      <c r="B732" s="1"/>
      <c r="C732" s="75"/>
      <c r="D732" s="1"/>
      <c r="E732" s="1"/>
      <c r="F732" s="1"/>
      <c r="G732" s="1"/>
      <c r="H732" s="1"/>
      <c r="I732" s="76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01" t="s">
        <v>1252</v>
      </c>
      <c r="V732" s="91" t="s">
        <v>1253</v>
      </c>
      <c r="W732" s="142">
        <v>24.0</v>
      </c>
      <c r="X732" s="142">
        <v>48.0</v>
      </c>
      <c r="Y732" s="142">
        <v>0.0</v>
      </c>
      <c r="Z732" s="103">
        <v>0.0</v>
      </c>
      <c r="AA732" s="142" t="s">
        <v>1254</v>
      </c>
      <c r="AB732" s="105">
        <v>597.87</v>
      </c>
      <c r="AC732" s="1"/>
      <c r="AD732" s="1"/>
      <c r="AE732" s="1"/>
      <c r="AF732" s="1"/>
      <c r="AG732" s="1"/>
    </row>
    <row r="733">
      <c r="A733" s="1"/>
      <c r="B733" s="1"/>
      <c r="C733" s="75"/>
      <c r="D733" s="1"/>
      <c r="E733" s="1"/>
      <c r="F733" s="1"/>
      <c r="G733" s="1"/>
      <c r="H733" s="1"/>
      <c r="I733" s="76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01" t="s">
        <v>1252</v>
      </c>
      <c r="V733" s="91" t="s">
        <v>1255</v>
      </c>
      <c r="W733" s="142">
        <v>96.0</v>
      </c>
      <c r="X733" s="142">
        <v>192.0</v>
      </c>
      <c r="Y733" s="142">
        <v>0.0</v>
      </c>
      <c r="Z733" s="103">
        <v>0.0</v>
      </c>
      <c r="AA733" s="142" t="s">
        <v>208</v>
      </c>
      <c r="AB733" s="105">
        <v>2391.48</v>
      </c>
      <c r="AC733" s="1"/>
      <c r="AD733" s="1"/>
      <c r="AE733" s="1"/>
      <c r="AF733" s="1"/>
      <c r="AG733" s="1"/>
    </row>
    <row r="734">
      <c r="A734" s="1"/>
      <c r="B734" s="1"/>
      <c r="C734" s="75"/>
      <c r="D734" s="1"/>
      <c r="E734" s="1"/>
      <c r="F734" s="1"/>
      <c r="G734" s="1"/>
      <c r="H734" s="1"/>
      <c r="I734" s="76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01" t="s">
        <v>1256</v>
      </c>
      <c r="V734" s="91" t="s">
        <v>1257</v>
      </c>
      <c r="W734" s="142">
        <v>64.0</v>
      </c>
      <c r="X734" s="142">
        <v>976.0</v>
      </c>
      <c r="Y734" s="142">
        <v>1920.0</v>
      </c>
      <c r="Z734" s="103">
        <v>1.0</v>
      </c>
      <c r="AA734" s="142" t="s">
        <v>154</v>
      </c>
      <c r="AB734" s="105">
        <v>3000.3</v>
      </c>
      <c r="AC734" s="1"/>
      <c r="AD734" s="1"/>
      <c r="AE734" s="1"/>
      <c r="AF734" s="1"/>
      <c r="AG734" s="1"/>
    </row>
    <row r="735">
      <c r="A735" s="1"/>
      <c r="B735" s="1"/>
      <c r="C735" s="75"/>
      <c r="D735" s="1"/>
      <c r="E735" s="1"/>
      <c r="F735" s="1"/>
      <c r="G735" s="1"/>
      <c r="H735" s="1"/>
      <c r="I735" s="76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01" t="s">
        <v>1258</v>
      </c>
      <c r="V735" s="91" t="s">
        <v>1259</v>
      </c>
      <c r="W735" s="142">
        <v>128.0</v>
      </c>
      <c r="X735" s="142">
        <v>1952.0</v>
      </c>
      <c r="Y735" s="142">
        <v>1920.0</v>
      </c>
      <c r="Z735" s="103">
        <v>2.0</v>
      </c>
      <c r="AA735" s="142" t="s">
        <v>208</v>
      </c>
      <c r="AB735" s="105">
        <v>5999.87</v>
      </c>
      <c r="AC735" s="1"/>
      <c r="AD735" s="1"/>
      <c r="AE735" s="1"/>
      <c r="AF735" s="1"/>
      <c r="AG735" s="1"/>
    </row>
    <row r="736">
      <c r="A736" s="1"/>
      <c r="B736" s="1"/>
      <c r="C736" s="75"/>
      <c r="D736" s="1"/>
      <c r="E736" s="1"/>
      <c r="F736" s="1"/>
      <c r="G736" s="1"/>
      <c r="H736" s="1"/>
      <c r="I736" s="76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01" t="s">
        <v>1260</v>
      </c>
      <c r="V736" s="91" t="s">
        <v>1261</v>
      </c>
      <c r="W736" s="142">
        <v>4.0</v>
      </c>
      <c r="X736" s="142">
        <v>122.0</v>
      </c>
      <c r="Y736" s="142">
        <v>1920.0</v>
      </c>
      <c r="Z736" s="103">
        <f t="shared" ref="Z736:Z739" si="21">Z737/2</f>
        <v>0.0625</v>
      </c>
      <c r="AA736" s="142" t="s">
        <v>105</v>
      </c>
      <c r="AB736" s="105">
        <v>375.22</v>
      </c>
      <c r="AC736" s="1"/>
      <c r="AD736" s="1"/>
      <c r="AE736" s="1"/>
      <c r="AF736" s="1"/>
      <c r="AG736" s="1"/>
    </row>
    <row r="737">
      <c r="A737" s="1"/>
      <c r="B737" s="1"/>
      <c r="C737" s="75"/>
      <c r="D737" s="1"/>
      <c r="E737" s="1"/>
      <c r="F737" s="1"/>
      <c r="G737" s="1"/>
      <c r="H737" s="1"/>
      <c r="I737" s="76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01" t="s">
        <v>1260</v>
      </c>
      <c r="V737" s="91" t="s">
        <v>1262</v>
      </c>
      <c r="W737" s="142">
        <v>8.0</v>
      </c>
      <c r="X737" s="142">
        <v>244.0</v>
      </c>
      <c r="Y737" s="142">
        <v>1920.0</v>
      </c>
      <c r="Z737" s="103">
        <f t="shared" si="21"/>
        <v>0.125</v>
      </c>
      <c r="AA737" s="142" t="s">
        <v>105</v>
      </c>
      <c r="AB737" s="105">
        <v>750.44</v>
      </c>
      <c r="AC737" s="1"/>
      <c r="AD737" s="1"/>
      <c r="AE737" s="1"/>
      <c r="AF737" s="1"/>
      <c r="AG737" s="1"/>
    </row>
    <row r="738">
      <c r="A738" s="1"/>
      <c r="B738" s="1"/>
      <c r="C738" s="75"/>
      <c r="D738" s="1"/>
      <c r="E738" s="1"/>
      <c r="F738" s="1"/>
      <c r="G738" s="1"/>
      <c r="H738" s="1"/>
      <c r="I738" s="76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01" t="s">
        <v>1260</v>
      </c>
      <c r="V738" s="91" t="s">
        <v>1263</v>
      </c>
      <c r="W738" s="142">
        <v>16.0</v>
      </c>
      <c r="X738" s="142">
        <v>488.0</v>
      </c>
      <c r="Y738" s="142">
        <v>1920.0</v>
      </c>
      <c r="Z738" s="103">
        <f t="shared" si="21"/>
        <v>0.25</v>
      </c>
      <c r="AA738" s="142" t="s">
        <v>105</v>
      </c>
      <c r="AB738" s="105">
        <v>1500.88</v>
      </c>
      <c r="AC738" s="1"/>
      <c r="AD738" s="1"/>
      <c r="AE738" s="1"/>
      <c r="AF738" s="1"/>
      <c r="AG738" s="1"/>
    </row>
    <row r="739">
      <c r="A739" s="1"/>
      <c r="B739" s="1"/>
      <c r="C739" s="75"/>
      <c r="D739" s="1"/>
      <c r="E739" s="1"/>
      <c r="F739" s="1"/>
      <c r="G739" s="1"/>
      <c r="H739" s="1"/>
      <c r="I739" s="76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01" t="s">
        <v>1264</v>
      </c>
      <c r="V739" s="91" t="s">
        <v>1265</v>
      </c>
      <c r="W739" s="142">
        <v>32.0</v>
      </c>
      <c r="X739" s="142">
        <v>976.0</v>
      </c>
      <c r="Y739" s="142">
        <v>1920.0</v>
      </c>
      <c r="Z739" s="103">
        <f t="shared" si="21"/>
        <v>0.5</v>
      </c>
      <c r="AA739" s="142" t="s">
        <v>105</v>
      </c>
      <c r="AB739" s="105">
        <v>3001.76</v>
      </c>
      <c r="AC739" s="1"/>
      <c r="AD739" s="1"/>
      <c r="AE739" s="1"/>
      <c r="AF739" s="1"/>
      <c r="AG739" s="1"/>
    </row>
    <row r="740">
      <c r="A740" s="1"/>
      <c r="B740" s="1"/>
      <c r="C740" s="75"/>
      <c r="D740" s="1"/>
      <c r="E740" s="1"/>
      <c r="F740" s="1"/>
      <c r="G740" s="1"/>
      <c r="H740" s="1"/>
      <c r="I740" s="76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01" t="s">
        <v>1260</v>
      </c>
      <c r="V740" s="91" t="s">
        <v>1266</v>
      </c>
      <c r="W740" s="142">
        <v>64.0</v>
      </c>
      <c r="X740" s="142">
        <v>1952.0</v>
      </c>
      <c r="Y740" s="142">
        <v>1920.0</v>
      </c>
      <c r="Z740" s="103">
        <v>1.0</v>
      </c>
      <c r="AA740" s="142" t="s">
        <v>154</v>
      </c>
      <c r="AB740" s="105">
        <v>6002.79</v>
      </c>
      <c r="AC740" s="1"/>
      <c r="AD740" s="1"/>
      <c r="AE740" s="1"/>
      <c r="AF740" s="1"/>
      <c r="AG740" s="1"/>
    </row>
    <row r="741">
      <c r="A741" s="1"/>
      <c r="B741" s="1"/>
      <c r="C741" s="75"/>
      <c r="D741" s="1"/>
      <c r="E741" s="1"/>
      <c r="F741" s="1"/>
      <c r="G741" s="1"/>
      <c r="H741" s="1"/>
      <c r="I741" s="76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01" t="s">
        <v>1260</v>
      </c>
      <c r="V741" s="91" t="s">
        <v>1267</v>
      </c>
      <c r="W741" s="142">
        <v>128.0</v>
      </c>
      <c r="X741" s="142">
        <v>3904.0</v>
      </c>
      <c r="Y741" s="142">
        <v>1920.0</v>
      </c>
      <c r="Z741" s="103">
        <v>2.0</v>
      </c>
      <c r="AA741" s="142" t="s">
        <v>208</v>
      </c>
      <c r="AB741" s="105">
        <v>12005.58</v>
      </c>
      <c r="AC741" s="1"/>
      <c r="AD741" s="1"/>
      <c r="AE741" s="1"/>
      <c r="AF741" s="1"/>
      <c r="AG741" s="1"/>
    </row>
    <row r="742">
      <c r="A742" s="1"/>
      <c r="B742" s="1"/>
      <c r="C742" s="75"/>
      <c r="D742" s="1"/>
      <c r="E742" s="1"/>
      <c r="F742" s="1"/>
      <c r="G742" s="1"/>
      <c r="H742" s="1"/>
      <c r="I742" s="76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01" t="s">
        <v>1268</v>
      </c>
      <c r="V742" s="91" t="s">
        <v>1269</v>
      </c>
      <c r="W742" s="142">
        <v>1.0</v>
      </c>
      <c r="X742" s="142">
        <v>16.0</v>
      </c>
      <c r="Y742" s="142">
        <v>1900.0</v>
      </c>
      <c r="Z742" s="103">
        <f t="shared" ref="Z742:Z746" si="22">Z743/2</f>
        <v>0.03125</v>
      </c>
      <c r="AA742" s="142" t="s">
        <v>105</v>
      </c>
      <c r="AB742" s="105">
        <v>37.6</v>
      </c>
      <c r="AC742" s="1"/>
      <c r="AD742" s="1"/>
      <c r="AE742" s="1"/>
      <c r="AF742" s="1"/>
      <c r="AG742" s="1"/>
    </row>
    <row r="743">
      <c r="A743" s="1"/>
      <c r="B743" s="1"/>
      <c r="C743" s="75"/>
      <c r="D743" s="1"/>
      <c r="E743" s="1"/>
      <c r="F743" s="1"/>
      <c r="G743" s="1"/>
      <c r="H743" s="1"/>
      <c r="I743" s="76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01" t="s">
        <v>1268</v>
      </c>
      <c r="V743" s="91" t="s">
        <v>1270</v>
      </c>
      <c r="W743" s="142">
        <v>2.0</v>
      </c>
      <c r="X743" s="142">
        <v>32.0</v>
      </c>
      <c r="Y743" s="142">
        <v>1900.0</v>
      </c>
      <c r="Z743" s="103">
        <f t="shared" si="22"/>
        <v>0.0625</v>
      </c>
      <c r="AA743" s="142" t="s">
        <v>105</v>
      </c>
      <c r="AB743" s="105">
        <v>75.12</v>
      </c>
      <c r="AC743" s="1"/>
      <c r="AD743" s="1"/>
      <c r="AE743" s="1"/>
      <c r="AF743" s="1"/>
      <c r="AG743" s="1"/>
    </row>
    <row r="744">
      <c r="A744" s="1"/>
      <c r="B744" s="1"/>
      <c r="C744" s="75"/>
      <c r="D744" s="1"/>
      <c r="E744" s="1"/>
      <c r="F744" s="1"/>
      <c r="G744" s="1"/>
      <c r="H744" s="1"/>
      <c r="I744" s="76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01" t="s">
        <v>1268</v>
      </c>
      <c r="V744" s="91" t="s">
        <v>1271</v>
      </c>
      <c r="W744" s="142">
        <v>4.0</v>
      </c>
      <c r="X744" s="142">
        <v>64.0</v>
      </c>
      <c r="Y744" s="142">
        <v>1900.0</v>
      </c>
      <c r="Z744" s="103">
        <f t="shared" si="22"/>
        <v>0.125</v>
      </c>
      <c r="AA744" s="142" t="s">
        <v>105</v>
      </c>
      <c r="AB744" s="105">
        <v>150.23</v>
      </c>
      <c r="AC744" s="1"/>
      <c r="AD744" s="1"/>
      <c r="AE744" s="1"/>
      <c r="AF744" s="1"/>
      <c r="AG744" s="1"/>
    </row>
    <row r="745">
      <c r="A745" s="1"/>
      <c r="B745" s="1"/>
      <c r="C745" s="75"/>
      <c r="D745" s="1"/>
      <c r="E745" s="1"/>
      <c r="F745" s="1"/>
      <c r="G745" s="1"/>
      <c r="H745" s="1"/>
      <c r="I745" s="76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01" t="s">
        <v>1268</v>
      </c>
      <c r="V745" s="91" t="s">
        <v>1272</v>
      </c>
      <c r="W745" s="142">
        <v>8.0</v>
      </c>
      <c r="X745" s="142">
        <v>128.0</v>
      </c>
      <c r="Y745" s="142">
        <v>1900.0</v>
      </c>
      <c r="Z745" s="103">
        <f t="shared" si="22"/>
        <v>0.25</v>
      </c>
      <c r="AA745" s="142" t="s">
        <v>105</v>
      </c>
      <c r="AB745" s="105">
        <v>300.54</v>
      </c>
      <c r="AC745" s="1"/>
      <c r="AD745" s="1"/>
      <c r="AE745" s="1"/>
      <c r="AF745" s="1"/>
      <c r="AG745" s="1"/>
    </row>
    <row r="746">
      <c r="A746" s="1"/>
      <c r="B746" s="1"/>
      <c r="C746" s="75"/>
      <c r="D746" s="1"/>
      <c r="E746" s="1"/>
      <c r="F746" s="1"/>
      <c r="G746" s="1"/>
      <c r="H746" s="1"/>
      <c r="I746" s="76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01" t="s">
        <v>1273</v>
      </c>
      <c r="V746" s="91" t="s">
        <v>1274</v>
      </c>
      <c r="W746" s="142">
        <v>16.0</v>
      </c>
      <c r="X746" s="142">
        <v>256.0</v>
      </c>
      <c r="Y746" s="142">
        <v>1900.0</v>
      </c>
      <c r="Z746" s="103">
        <f t="shared" si="22"/>
        <v>0.5</v>
      </c>
      <c r="AA746" s="142" t="s">
        <v>105</v>
      </c>
      <c r="AB746" s="105">
        <v>601.01</v>
      </c>
      <c r="AC746" s="1"/>
      <c r="AD746" s="1"/>
      <c r="AE746" s="1"/>
      <c r="AF746" s="1"/>
      <c r="AG746" s="1"/>
    </row>
    <row r="747">
      <c r="A747" s="1"/>
      <c r="B747" s="1"/>
      <c r="C747" s="75"/>
      <c r="D747" s="1"/>
      <c r="E747" s="1"/>
      <c r="F747" s="1"/>
      <c r="G747" s="1"/>
      <c r="H747" s="1"/>
      <c r="I747" s="76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01" t="s">
        <v>1268</v>
      </c>
      <c r="V747" s="91" t="s">
        <v>1275</v>
      </c>
      <c r="W747" s="142">
        <v>32.0</v>
      </c>
      <c r="X747" s="142">
        <v>512.0</v>
      </c>
      <c r="Y747" s="142">
        <v>1900.0</v>
      </c>
      <c r="Z747" s="103">
        <v>1.0</v>
      </c>
      <c r="AA747" s="142" t="s">
        <v>198</v>
      </c>
      <c r="AB747" s="105">
        <v>1202.02</v>
      </c>
      <c r="AC747" s="1"/>
      <c r="AD747" s="1"/>
      <c r="AE747" s="1"/>
      <c r="AF747" s="1"/>
      <c r="AG747" s="1"/>
    </row>
    <row r="748">
      <c r="A748" s="1"/>
      <c r="B748" s="1"/>
      <c r="C748" s="75"/>
      <c r="D748" s="1"/>
      <c r="E748" s="1"/>
      <c r="F748" s="1"/>
      <c r="G748" s="1"/>
      <c r="H748" s="1"/>
      <c r="I748" s="76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01" t="s">
        <v>1268</v>
      </c>
      <c r="V748" s="91" t="s">
        <v>1276</v>
      </c>
      <c r="W748" s="142">
        <v>48.0</v>
      </c>
      <c r="X748" s="142">
        <v>768.0</v>
      </c>
      <c r="Y748" s="142">
        <v>1900.0</v>
      </c>
      <c r="Z748" s="103">
        <v>1.5</v>
      </c>
      <c r="AA748" s="142" t="s">
        <v>236</v>
      </c>
      <c r="AB748" s="105">
        <v>1803.03</v>
      </c>
      <c r="AC748" s="1"/>
      <c r="AD748" s="1"/>
      <c r="AE748" s="1"/>
      <c r="AF748" s="1"/>
      <c r="AG748" s="1"/>
    </row>
    <row r="749">
      <c r="A749" s="1"/>
      <c r="B749" s="1"/>
      <c r="C749" s="75"/>
      <c r="D749" s="1"/>
      <c r="E749" s="1"/>
      <c r="F749" s="1"/>
      <c r="G749" s="1"/>
      <c r="H749" s="1"/>
      <c r="I749" s="76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01" t="s">
        <v>1268</v>
      </c>
      <c r="V749" s="91" t="s">
        <v>1277</v>
      </c>
      <c r="W749" s="142">
        <v>64.0</v>
      </c>
      <c r="X749" s="142">
        <v>1024.0</v>
      </c>
      <c r="Y749" s="142">
        <v>1900.0</v>
      </c>
      <c r="Z749" s="103">
        <v>2.0</v>
      </c>
      <c r="AA749" s="142" t="s">
        <v>208</v>
      </c>
      <c r="AB749" s="105">
        <v>2404.04</v>
      </c>
      <c r="AC749" s="1"/>
      <c r="AD749" s="1"/>
      <c r="AE749" s="1"/>
      <c r="AF749" s="1"/>
      <c r="AG749" s="1"/>
    </row>
    <row r="750">
      <c r="A750" s="1"/>
      <c r="B750" s="1"/>
      <c r="C750" s="75"/>
      <c r="D750" s="1"/>
      <c r="E750" s="1"/>
      <c r="F750" s="1"/>
      <c r="G750" s="1"/>
      <c r="H750" s="1"/>
      <c r="I750" s="76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01" t="s">
        <v>1278</v>
      </c>
      <c r="V750" s="91" t="s">
        <v>1279</v>
      </c>
      <c r="W750" s="142">
        <v>64.0</v>
      </c>
      <c r="X750" s="142">
        <v>1024.0</v>
      </c>
      <c r="Y750" s="142">
        <v>1900.0</v>
      </c>
      <c r="Z750" s="103">
        <v>1.0</v>
      </c>
      <c r="AA750" s="142" t="s">
        <v>294</v>
      </c>
      <c r="AB750" s="105">
        <v>2995.51</v>
      </c>
      <c r="AC750" s="1"/>
      <c r="AD750" s="1"/>
      <c r="AE750" s="1"/>
      <c r="AF750" s="1"/>
      <c r="AG750" s="1"/>
    </row>
    <row r="751">
      <c r="A751" s="1"/>
      <c r="B751" s="1"/>
      <c r="C751" s="75"/>
      <c r="D751" s="1"/>
      <c r="E751" s="1"/>
      <c r="F751" s="1"/>
      <c r="G751" s="1"/>
      <c r="H751" s="1"/>
      <c r="I751" s="76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01" t="s">
        <v>1280</v>
      </c>
      <c r="V751" s="91" t="s">
        <v>1281</v>
      </c>
      <c r="W751" s="142">
        <v>96.0</v>
      </c>
      <c r="X751" s="142">
        <v>1536.0</v>
      </c>
      <c r="Y751" s="142">
        <v>1900.0</v>
      </c>
      <c r="Z751" s="103">
        <f>2*1425/1900</f>
        <v>1.5</v>
      </c>
      <c r="AA751" s="142" t="s">
        <v>364</v>
      </c>
      <c r="AB751" s="105">
        <v>4493.26</v>
      </c>
      <c r="AC751" s="1"/>
      <c r="AD751" s="1"/>
      <c r="AE751" s="1"/>
      <c r="AF751" s="1"/>
      <c r="AG751" s="1"/>
    </row>
    <row r="752">
      <c r="A752" s="1"/>
      <c r="B752" s="1"/>
      <c r="C752" s="75"/>
      <c r="D752" s="1"/>
      <c r="E752" s="1"/>
      <c r="F752" s="1"/>
      <c r="G752" s="1"/>
      <c r="H752" s="1"/>
      <c r="I752" s="76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01" t="s">
        <v>1280</v>
      </c>
      <c r="V752" s="91" t="s">
        <v>1282</v>
      </c>
      <c r="W752" s="142">
        <v>128.0</v>
      </c>
      <c r="X752" s="142">
        <v>2048.0</v>
      </c>
      <c r="Y752" s="142">
        <v>1900.0</v>
      </c>
      <c r="Z752" s="103">
        <v>2.0</v>
      </c>
      <c r="AA752" s="142" t="s">
        <v>296</v>
      </c>
      <c r="AB752" s="105">
        <v>5991.02</v>
      </c>
      <c r="AC752" s="1"/>
      <c r="AD752" s="1"/>
      <c r="AE752" s="1"/>
      <c r="AF752" s="1"/>
      <c r="AG752" s="1"/>
    </row>
    <row r="753">
      <c r="A753" s="1"/>
      <c r="B753" s="1"/>
      <c r="C753" s="75"/>
      <c r="D753" s="1"/>
      <c r="E753" s="1"/>
      <c r="F753" s="1"/>
      <c r="G753" s="1"/>
      <c r="H753" s="1"/>
      <c r="I753" s="76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01" t="s">
        <v>1283</v>
      </c>
      <c r="V753" s="91" t="s">
        <v>1284</v>
      </c>
      <c r="W753" s="142">
        <v>4.0</v>
      </c>
      <c r="X753" s="142">
        <v>128.0</v>
      </c>
      <c r="Y753" s="142">
        <v>1900.0</v>
      </c>
      <c r="Z753" s="103">
        <f t="shared" ref="Z753:Z755" si="23">Z754/2</f>
        <v>0.0625</v>
      </c>
      <c r="AA753" s="142" t="s">
        <v>284</v>
      </c>
      <c r="AB753" s="105">
        <v>374.44</v>
      </c>
      <c r="AC753" s="1"/>
      <c r="AD753" s="1"/>
      <c r="AE753" s="1"/>
      <c r="AF753" s="1"/>
      <c r="AG753" s="1"/>
    </row>
    <row r="754">
      <c r="A754" s="1"/>
      <c r="B754" s="1"/>
      <c r="C754" s="75"/>
      <c r="D754" s="1"/>
      <c r="E754" s="1"/>
      <c r="F754" s="1"/>
      <c r="G754" s="1"/>
      <c r="H754" s="1"/>
      <c r="I754" s="76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01" t="s">
        <v>1283</v>
      </c>
      <c r="V754" s="91" t="s">
        <v>1285</v>
      </c>
      <c r="W754" s="142">
        <v>8.0</v>
      </c>
      <c r="X754" s="142">
        <v>256.0</v>
      </c>
      <c r="Y754" s="142">
        <v>1900.0</v>
      </c>
      <c r="Z754" s="103">
        <f t="shared" si="23"/>
        <v>0.125</v>
      </c>
      <c r="AA754" s="142" t="s">
        <v>284</v>
      </c>
      <c r="AB754" s="105">
        <v>748.88</v>
      </c>
      <c r="AC754" s="1"/>
      <c r="AD754" s="1"/>
      <c r="AE754" s="1"/>
      <c r="AF754" s="1"/>
      <c r="AG754" s="1"/>
    </row>
    <row r="755">
      <c r="A755" s="1"/>
      <c r="B755" s="1"/>
      <c r="C755" s="75"/>
      <c r="D755" s="1"/>
      <c r="E755" s="1"/>
      <c r="F755" s="1"/>
      <c r="G755" s="1"/>
      <c r="H755" s="1"/>
      <c r="I755" s="76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01" t="s">
        <v>1283</v>
      </c>
      <c r="V755" s="91" t="s">
        <v>1286</v>
      </c>
      <c r="W755" s="142">
        <v>16.0</v>
      </c>
      <c r="X755" s="142">
        <v>512.0</v>
      </c>
      <c r="Y755" s="142">
        <v>1900.0</v>
      </c>
      <c r="Z755" s="103">
        <f t="shared" si="23"/>
        <v>0.25</v>
      </c>
      <c r="AA755" s="142" t="s">
        <v>284</v>
      </c>
      <c r="AB755" s="105">
        <v>1497.76</v>
      </c>
      <c r="AC755" s="1"/>
      <c r="AD755" s="1"/>
      <c r="AE755" s="1"/>
      <c r="AF755" s="1"/>
      <c r="AG755" s="1"/>
    </row>
    <row r="756">
      <c r="A756" s="1"/>
      <c r="B756" s="1"/>
      <c r="C756" s="75"/>
      <c r="D756" s="1"/>
      <c r="E756" s="1"/>
      <c r="F756" s="1"/>
      <c r="G756" s="1"/>
      <c r="H756" s="1"/>
      <c r="I756" s="76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01" t="s">
        <v>1287</v>
      </c>
      <c r="V756" s="91" t="s">
        <v>1288</v>
      </c>
      <c r="W756" s="142">
        <v>32.0</v>
      </c>
      <c r="X756" s="142">
        <v>1024.0</v>
      </c>
      <c r="Y756" s="142">
        <v>1900.0</v>
      </c>
      <c r="Z756" s="103">
        <v>0.5</v>
      </c>
      <c r="AA756" s="142" t="s">
        <v>208</v>
      </c>
      <c r="AB756" s="105">
        <v>2995.51</v>
      </c>
      <c r="AC756" s="1"/>
      <c r="AD756" s="1"/>
      <c r="AE756" s="1"/>
      <c r="AF756" s="1"/>
      <c r="AG756" s="1"/>
    </row>
    <row r="757">
      <c r="A757" s="1"/>
      <c r="B757" s="1"/>
      <c r="C757" s="75"/>
      <c r="D757" s="1"/>
      <c r="E757" s="1"/>
      <c r="F757" s="1"/>
      <c r="G757" s="1"/>
      <c r="H757" s="1"/>
      <c r="I757" s="76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01" t="s">
        <v>1283</v>
      </c>
      <c r="V757" s="91" t="s">
        <v>1289</v>
      </c>
      <c r="W757" s="142">
        <v>64.0</v>
      </c>
      <c r="X757" s="142">
        <v>2048.0</v>
      </c>
      <c r="Y757" s="142">
        <v>1900.0</v>
      </c>
      <c r="Z757" s="103">
        <v>1.0</v>
      </c>
      <c r="AA757" s="142" t="s">
        <v>294</v>
      </c>
      <c r="AB757" s="105">
        <v>5991.02</v>
      </c>
      <c r="AC757" s="1"/>
      <c r="AD757" s="1"/>
      <c r="AE757" s="1"/>
      <c r="AF757" s="1"/>
      <c r="AG757" s="1"/>
    </row>
    <row r="758">
      <c r="A758" s="1"/>
      <c r="B758" s="1"/>
      <c r="C758" s="75"/>
      <c r="D758" s="1"/>
      <c r="E758" s="1"/>
      <c r="F758" s="1"/>
      <c r="G758" s="1"/>
      <c r="H758" s="1"/>
      <c r="I758" s="76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01" t="s">
        <v>1283</v>
      </c>
      <c r="V758" s="91" t="s">
        <v>1290</v>
      </c>
      <c r="W758" s="142">
        <v>96.0</v>
      </c>
      <c r="X758" s="142">
        <v>3072.0</v>
      </c>
      <c r="Y758" s="142">
        <v>1900.0</v>
      </c>
      <c r="Z758" s="103">
        <v>1.5</v>
      </c>
      <c r="AA758" s="142" t="s">
        <v>364</v>
      </c>
      <c r="AB758" s="105">
        <v>8986.53</v>
      </c>
      <c r="AC758" s="1"/>
      <c r="AD758" s="1"/>
      <c r="AE758" s="1"/>
      <c r="AF758" s="1"/>
      <c r="AG758" s="1"/>
    </row>
    <row r="759">
      <c r="A759" s="1"/>
      <c r="B759" s="1"/>
      <c r="C759" s="75"/>
      <c r="D759" s="1"/>
      <c r="E759" s="1"/>
      <c r="F759" s="1"/>
      <c r="G759" s="1"/>
      <c r="H759" s="1"/>
      <c r="I759" s="76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01" t="s">
        <v>1283</v>
      </c>
      <c r="V759" s="91" t="s">
        <v>1291</v>
      </c>
      <c r="W759" s="142">
        <v>128.0</v>
      </c>
      <c r="X759" s="142">
        <v>4096.0</v>
      </c>
      <c r="Y759" s="142">
        <v>1900.0</v>
      </c>
      <c r="Z759" s="103">
        <v>2.0</v>
      </c>
      <c r="AA759" s="142" t="s">
        <v>296</v>
      </c>
      <c r="AB759" s="105">
        <v>11982.03</v>
      </c>
      <c r="AC759" s="1"/>
      <c r="AD759" s="1"/>
      <c r="AE759" s="1"/>
      <c r="AF759" s="1"/>
      <c r="AG759" s="1"/>
    </row>
    <row r="760">
      <c r="A760" s="1"/>
      <c r="B760" s="1"/>
      <c r="C760" s="75"/>
      <c r="D760" s="1"/>
      <c r="E760" s="1"/>
      <c r="F760" s="1"/>
      <c r="G760" s="1"/>
      <c r="H760" s="1"/>
      <c r="I760" s="76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01" t="s">
        <v>1292</v>
      </c>
      <c r="V760" s="91" t="s">
        <v>1293</v>
      </c>
      <c r="W760" s="142">
        <v>8.0</v>
      </c>
      <c r="X760" s="142">
        <v>256.0</v>
      </c>
      <c r="Y760" s="142">
        <v>0.0</v>
      </c>
      <c r="Z760" s="103">
        <v>0.0</v>
      </c>
      <c r="AA760" s="142" t="s">
        <v>284</v>
      </c>
      <c r="AB760" s="105">
        <v>749.64</v>
      </c>
      <c r="AC760" s="1"/>
      <c r="AD760" s="1"/>
      <c r="AE760" s="1"/>
      <c r="AF760" s="1"/>
      <c r="AG760" s="1"/>
    </row>
    <row r="761">
      <c r="A761" s="1"/>
      <c r="B761" s="1"/>
      <c r="C761" s="75"/>
      <c r="D761" s="1"/>
      <c r="E761" s="1"/>
      <c r="F761" s="1"/>
      <c r="G761" s="1"/>
      <c r="H761" s="1"/>
      <c r="I761" s="76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01" t="s">
        <v>1294</v>
      </c>
      <c r="V761" s="91" t="s">
        <v>1295</v>
      </c>
      <c r="W761" s="142">
        <v>16.0</v>
      </c>
      <c r="X761" s="142">
        <v>512.0</v>
      </c>
      <c r="Y761" s="142">
        <v>0.0</v>
      </c>
      <c r="Z761" s="103">
        <v>0.0</v>
      </c>
      <c r="AA761" s="142" t="s">
        <v>284</v>
      </c>
      <c r="AB761" s="105">
        <v>1499.27</v>
      </c>
      <c r="AC761" s="1"/>
      <c r="AD761" s="1"/>
      <c r="AE761" s="1"/>
      <c r="AF761" s="1"/>
      <c r="AG761" s="1"/>
    </row>
    <row r="762">
      <c r="A762" s="1"/>
      <c r="B762" s="1"/>
      <c r="C762" s="75"/>
      <c r="D762" s="1"/>
      <c r="E762" s="1"/>
      <c r="F762" s="1"/>
      <c r="G762" s="1"/>
      <c r="H762" s="1"/>
      <c r="I762" s="76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01" t="s">
        <v>1294</v>
      </c>
      <c r="V762" s="91" t="s">
        <v>1296</v>
      </c>
      <c r="W762" s="142">
        <v>24.0</v>
      </c>
      <c r="X762" s="142">
        <v>768.0</v>
      </c>
      <c r="Y762" s="142">
        <v>0.0</v>
      </c>
      <c r="Z762" s="103">
        <v>0.0</v>
      </c>
      <c r="AA762" s="142" t="s">
        <v>294</v>
      </c>
      <c r="AB762" s="105">
        <v>2248.91</v>
      </c>
      <c r="AC762" s="1"/>
      <c r="AD762" s="1"/>
      <c r="AE762" s="1"/>
      <c r="AF762" s="1"/>
      <c r="AG762" s="1"/>
    </row>
    <row r="763">
      <c r="A763" s="1"/>
      <c r="B763" s="1"/>
      <c r="C763" s="75"/>
      <c r="D763" s="1"/>
      <c r="E763" s="1"/>
      <c r="F763" s="1"/>
      <c r="G763" s="1"/>
      <c r="H763" s="1"/>
      <c r="I763" s="76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01" t="s">
        <v>1294</v>
      </c>
      <c r="V763" s="91" t="s">
        <v>1297</v>
      </c>
      <c r="W763" s="142">
        <v>32.0</v>
      </c>
      <c r="X763" s="142">
        <v>1024.0</v>
      </c>
      <c r="Y763" s="142">
        <v>0.0</v>
      </c>
      <c r="Z763" s="103">
        <v>0.0</v>
      </c>
      <c r="AA763" s="142" t="s">
        <v>364</v>
      </c>
      <c r="AB763" s="105">
        <v>2998.55</v>
      </c>
      <c r="AC763" s="1"/>
      <c r="AD763" s="1"/>
      <c r="AE763" s="1"/>
      <c r="AF763" s="1"/>
      <c r="AG763" s="1"/>
    </row>
    <row r="764">
      <c r="A764" s="1"/>
      <c r="B764" s="1"/>
      <c r="C764" s="75"/>
      <c r="D764" s="1"/>
      <c r="E764" s="1"/>
      <c r="F764" s="1"/>
      <c r="G764" s="1"/>
      <c r="H764" s="1"/>
      <c r="I764" s="76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01" t="s">
        <v>1294</v>
      </c>
      <c r="V764" s="91" t="s">
        <v>1298</v>
      </c>
      <c r="W764" s="142">
        <v>48.0</v>
      </c>
      <c r="X764" s="142">
        <v>1536.0</v>
      </c>
      <c r="Y764" s="142">
        <v>0.0</v>
      </c>
      <c r="Z764" s="103">
        <v>0.0</v>
      </c>
      <c r="AA764" s="142" t="s">
        <v>296</v>
      </c>
      <c r="AB764" s="105">
        <v>4497.82</v>
      </c>
      <c r="AC764" s="1"/>
      <c r="AD764" s="1"/>
      <c r="AE764" s="1"/>
      <c r="AF764" s="1"/>
      <c r="AG764" s="1"/>
    </row>
    <row r="765">
      <c r="A765" s="1"/>
      <c r="B765" s="1"/>
      <c r="C765" s="75"/>
      <c r="D765" s="1"/>
      <c r="E765" s="1"/>
      <c r="F765" s="1"/>
      <c r="G765" s="1"/>
      <c r="H765" s="1"/>
      <c r="I765" s="76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01" t="s">
        <v>1299</v>
      </c>
      <c r="V765" s="91" t="s">
        <v>1300</v>
      </c>
      <c r="W765" s="142">
        <v>1.0</v>
      </c>
      <c r="X765" s="142">
        <v>16.0</v>
      </c>
      <c r="Y765" s="142">
        <v>0.0</v>
      </c>
      <c r="Z765" s="103">
        <v>0.0</v>
      </c>
      <c r="AA765" s="142" t="s">
        <v>300</v>
      </c>
      <c r="AB765" s="105">
        <v>43.95</v>
      </c>
      <c r="AC765" s="1"/>
      <c r="AD765" s="1"/>
      <c r="AE765" s="1"/>
      <c r="AF765" s="1"/>
      <c r="AG765" s="1"/>
    </row>
    <row r="766">
      <c r="A766" s="1"/>
      <c r="B766" s="1"/>
      <c r="C766" s="75"/>
      <c r="D766" s="1"/>
      <c r="E766" s="1"/>
      <c r="F766" s="1"/>
      <c r="G766" s="1"/>
      <c r="H766" s="1"/>
      <c r="I766" s="76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01" t="s">
        <v>1301</v>
      </c>
      <c r="V766" s="91" t="s">
        <v>1302</v>
      </c>
      <c r="W766" s="142">
        <v>2.0</v>
      </c>
      <c r="X766" s="142">
        <v>32.0</v>
      </c>
      <c r="Y766" s="142">
        <v>0.0</v>
      </c>
      <c r="Z766" s="103">
        <v>0.0</v>
      </c>
      <c r="AA766" s="142" t="s">
        <v>300</v>
      </c>
      <c r="AB766" s="105">
        <v>87.9</v>
      </c>
      <c r="AC766" s="1"/>
      <c r="AD766" s="1"/>
      <c r="AE766" s="1"/>
      <c r="AF766" s="1"/>
      <c r="AG766" s="1"/>
    </row>
    <row r="767">
      <c r="A767" s="1"/>
      <c r="B767" s="1"/>
      <c r="C767" s="75"/>
      <c r="D767" s="1"/>
      <c r="E767" s="1"/>
      <c r="F767" s="1"/>
      <c r="G767" s="1"/>
      <c r="H767" s="1"/>
      <c r="I767" s="76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01" t="s">
        <v>1301</v>
      </c>
      <c r="V767" s="91" t="s">
        <v>1303</v>
      </c>
      <c r="W767" s="142">
        <v>4.0</v>
      </c>
      <c r="X767" s="142">
        <v>64.0</v>
      </c>
      <c r="Y767" s="142">
        <v>0.0</v>
      </c>
      <c r="Z767" s="103">
        <v>0.0</v>
      </c>
      <c r="AA767" s="142" t="s">
        <v>300</v>
      </c>
      <c r="AB767" s="105">
        <v>175.81</v>
      </c>
      <c r="AC767" s="1"/>
      <c r="AD767" s="1"/>
      <c r="AE767" s="1"/>
      <c r="AF767" s="1"/>
      <c r="AG767" s="1"/>
    </row>
    <row r="768">
      <c r="A768" s="1"/>
      <c r="B768" s="1"/>
      <c r="C768" s="75"/>
      <c r="D768" s="1"/>
      <c r="E768" s="1"/>
      <c r="F768" s="1"/>
      <c r="G768" s="1"/>
      <c r="H768" s="1"/>
      <c r="I768" s="76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01" t="s">
        <v>1301</v>
      </c>
      <c r="V768" s="91" t="s">
        <v>1304</v>
      </c>
      <c r="W768" s="142">
        <v>8.0</v>
      </c>
      <c r="X768" s="142">
        <v>128.0</v>
      </c>
      <c r="Y768" s="142">
        <v>0.0</v>
      </c>
      <c r="Z768" s="103">
        <v>0.0</v>
      </c>
      <c r="AA768" s="142" t="s">
        <v>441</v>
      </c>
      <c r="AB768" s="105">
        <v>351.61</v>
      </c>
      <c r="AC768" s="1"/>
      <c r="AD768" s="1"/>
      <c r="AE768" s="1"/>
      <c r="AF768" s="1"/>
      <c r="AG768" s="1"/>
    </row>
    <row r="769">
      <c r="A769" s="1"/>
      <c r="B769" s="1"/>
      <c r="C769" s="75"/>
      <c r="D769" s="1"/>
      <c r="E769" s="1"/>
      <c r="F769" s="1"/>
      <c r="G769" s="1"/>
      <c r="H769" s="1"/>
      <c r="I769" s="76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01" t="s">
        <v>1301</v>
      </c>
      <c r="V769" s="91" t="s">
        <v>1305</v>
      </c>
      <c r="W769" s="142">
        <v>16.0</v>
      </c>
      <c r="X769" s="142">
        <v>256.0</v>
      </c>
      <c r="Y769" s="142">
        <v>0.0</v>
      </c>
      <c r="Z769" s="103">
        <v>0.0</v>
      </c>
      <c r="AA769" s="142" t="s">
        <v>441</v>
      </c>
      <c r="AB769" s="105">
        <v>703.22</v>
      </c>
      <c r="AC769" s="1"/>
      <c r="AD769" s="1"/>
      <c r="AE769" s="1"/>
      <c r="AF769" s="1"/>
      <c r="AG769" s="1"/>
    </row>
    <row r="770">
      <c r="A770" s="1"/>
      <c r="B770" s="1"/>
      <c r="C770" s="75"/>
      <c r="D770" s="1"/>
      <c r="E770" s="1"/>
      <c r="F770" s="1"/>
      <c r="G770" s="1"/>
      <c r="H770" s="1"/>
      <c r="I770" s="76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01" t="s">
        <v>1301</v>
      </c>
      <c r="V770" s="91" t="s">
        <v>1306</v>
      </c>
      <c r="W770" s="142">
        <v>32.0</v>
      </c>
      <c r="X770" s="142">
        <v>512.0</v>
      </c>
      <c r="Y770" s="142">
        <v>0.0</v>
      </c>
      <c r="Z770" s="103">
        <v>0.0</v>
      </c>
      <c r="AA770" s="142" t="s">
        <v>444</v>
      </c>
      <c r="AB770" s="105">
        <v>1406.44</v>
      </c>
      <c r="AC770" s="1"/>
      <c r="AD770" s="1"/>
      <c r="AE770" s="1"/>
      <c r="AF770" s="1"/>
      <c r="AG770" s="1"/>
    </row>
    <row r="771">
      <c r="A771" s="1"/>
      <c r="B771" s="1"/>
      <c r="C771" s="75"/>
      <c r="D771" s="1"/>
      <c r="E771" s="1"/>
      <c r="F771" s="1"/>
      <c r="G771" s="1"/>
      <c r="H771" s="1"/>
      <c r="I771" s="76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01" t="s">
        <v>1301</v>
      </c>
      <c r="V771" s="91" t="s">
        <v>1307</v>
      </c>
      <c r="W771" s="142">
        <v>48.0</v>
      </c>
      <c r="X771" s="142">
        <v>768.0</v>
      </c>
      <c r="Y771" s="142">
        <v>0.0</v>
      </c>
      <c r="Z771" s="103">
        <v>0.0</v>
      </c>
      <c r="AA771" s="142" t="s">
        <v>446</v>
      </c>
      <c r="AB771" s="105">
        <v>2109.66</v>
      </c>
      <c r="AC771" s="1"/>
      <c r="AD771" s="1"/>
      <c r="AE771" s="1"/>
      <c r="AF771" s="1"/>
      <c r="AG771" s="1"/>
    </row>
    <row r="772">
      <c r="A772" s="1"/>
      <c r="B772" s="1"/>
      <c r="C772" s="75"/>
      <c r="D772" s="1"/>
      <c r="E772" s="1"/>
      <c r="F772" s="1"/>
      <c r="G772" s="1"/>
      <c r="H772" s="1"/>
      <c r="I772" s="76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01" t="s">
        <v>1301</v>
      </c>
      <c r="V772" s="91" t="s">
        <v>1308</v>
      </c>
      <c r="W772" s="142">
        <v>64.0</v>
      </c>
      <c r="X772" s="142">
        <v>1024.0</v>
      </c>
      <c r="Y772" s="142">
        <v>0.0</v>
      </c>
      <c r="Z772" s="103">
        <v>0.0</v>
      </c>
      <c r="AA772" s="142" t="s">
        <v>448</v>
      </c>
      <c r="AB772" s="105">
        <v>2812.88</v>
      </c>
      <c r="AC772" s="1"/>
      <c r="AD772" s="1"/>
      <c r="AE772" s="1"/>
      <c r="AF772" s="1"/>
      <c r="AG772" s="1"/>
    </row>
    <row r="773">
      <c r="A773" s="1"/>
      <c r="B773" s="1"/>
      <c r="C773" s="75"/>
      <c r="D773" s="1"/>
      <c r="E773" s="1"/>
      <c r="F773" s="1"/>
      <c r="G773" s="1"/>
      <c r="H773" s="1"/>
      <c r="I773" s="76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01" t="s">
        <v>1301</v>
      </c>
      <c r="V773" s="91" t="s">
        <v>1309</v>
      </c>
      <c r="W773" s="142">
        <v>96.0</v>
      </c>
      <c r="X773" s="142">
        <v>1536.0</v>
      </c>
      <c r="Y773" s="142">
        <v>0.0</v>
      </c>
      <c r="Z773" s="103">
        <v>0.0</v>
      </c>
      <c r="AA773" s="142" t="s">
        <v>501</v>
      </c>
      <c r="AB773" s="105">
        <v>4219.32</v>
      </c>
      <c r="AC773" s="1"/>
      <c r="AD773" s="1"/>
      <c r="AE773" s="1"/>
      <c r="AF773" s="1"/>
      <c r="AG773" s="1"/>
    </row>
    <row r="774">
      <c r="A774" s="1"/>
      <c r="B774" s="1"/>
      <c r="C774" s="75"/>
      <c r="D774" s="1"/>
      <c r="E774" s="1"/>
      <c r="F774" s="1"/>
      <c r="G774" s="1"/>
      <c r="H774" s="1"/>
      <c r="I774" s="76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01" t="s">
        <v>1301</v>
      </c>
      <c r="V774" s="91" t="s">
        <v>1310</v>
      </c>
      <c r="W774" s="142">
        <v>192.0</v>
      </c>
      <c r="X774" s="142">
        <v>3072.0</v>
      </c>
      <c r="Y774" s="142">
        <v>0.0</v>
      </c>
      <c r="Z774" s="103">
        <v>0.0</v>
      </c>
      <c r="AA774" s="142" t="s">
        <v>294</v>
      </c>
      <c r="AB774" s="105">
        <v>8438.63</v>
      </c>
      <c r="AC774" s="1"/>
      <c r="AD774" s="1"/>
      <c r="AE774" s="1"/>
      <c r="AF774" s="1"/>
      <c r="AG774" s="1"/>
    </row>
    <row r="775">
      <c r="A775" s="1"/>
      <c r="B775" s="1"/>
      <c r="C775" s="75"/>
      <c r="D775" s="1"/>
      <c r="E775" s="1"/>
      <c r="F775" s="1"/>
      <c r="G775" s="1"/>
      <c r="H775" s="1"/>
      <c r="I775" s="76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01" t="s">
        <v>1311</v>
      </c>
      <c r="V775" s="91" t="s">
        <v>1312</v>
      </c>
      <c r="W775" s="142">
        <v>2.0</v>
      </c>
      <c r="X775" s="142">
        <v>16.0</v>
      </c>
      <c r="Y775" s="142">
        <v>900.0</v>
      </c>
      <c r="Z775" s="103">
        <f t="shared" ref="Z775:Z778" si="24">Z776/2</f>
        <v>0.0625</v>
      </c>
      <c r="AA775" s="142" t="s">
        <v>105</v>
      </c>
      <c r="AB775" s="105">
        <v>85.41</v>
      </c>
      <c r="AC775" s="1"/>
      <c r="AD775" s="1"/>
      <c r="AE775" s="1"/>
      <c r="AF775" s="1"/>
      <c r="AG775" s="1"/>
    </row>
    <row r="776">
      <c r="A776" s="1"/>
      <c r="B776" s="1"/>
      <c r="C776" s="75"/>
      <c r="D776" s="1"/>
      <c r="E776" s="1"/>
      <c r="F776" s="1"/>
      <c r="G776" s="1"/>
      <c r="H776" s="1"/>
      <c r="I776" s="76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01" t="s">
        <v>1311</v>
      </c>
      <c r="V776" s="91" t="s">
        <v>1313</v>
      </c>
      <c r="W776" s="142">
        <v>4.0</v>
      </c>
      <c r="X776" s="142">
        <v>32.0</v>
      </c>
      <c r="Y776" s="142">
        <v>900.0</v>
      </c>
      <c r="Z776" s="103">
        <f t="shared" si="24"/>
        <v>0.125</v>
      </c>
      <c r="AA776" s="142" t="s">
        <v>105</v>
      </c>
      <c r="AB776" s="105">
        <v>170.82</v>
      </c>
      <c r="AC776" s="1"/>
      <c r="AD776" s="1"/>
      <c r="AE776" s="1"/>
      <c r="AF776" s="1"/>
      <c r="AG776" s="1"/>
    </row>
    <row r="777">
      <c r="A777" s="1"/>
      <c r="B777" s="1"/>
      <c r="C777" s="75"/>
      <c r="D777" s="1"/>
      <c r="E777" s="1"/>
      <c r="F777" s="1"/>
      <c r="G777" s="1"/>
      <c r="H777" s="1"/>
      <c r="I777" s="76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01" t="s">
        <v>1311</v>
      </c>
      <c r="V777" s="91" t="s">
        <v>1314</v>
      </c>
      <c r="W777" s="142">
        <v>8.0</v>
      </c>
      <c r="X777" s="142">
        <v>64.0</v>
      </c>
      <c r="Y777" s="142">
        <v>900.0</v>
      </c>
      <c r="Z777" s="103">
        <f t="shared" si="24"/>
        <v>0.25</v>
      </c>
      <c r="AA777" s="142" t="s">
        <v>105</v>
      </c>
      <c r="AB777" s="105">
        <v>342.37</v>
      </c>
      <c r="AC777" s="1"/>
      <c r="AD777" s="1"/>
      <c r="AE777" s="1"/>
      <c r="AF777" s="1"/>
      <c r="AG777" s="1"/>
    </row>
    <row r="778">
      <c r="A778" s="1"/>
      <c r="B778" s="1"/>
      <c r="C778" s="75"/>
      <c r="D778" s="1"/>
      <c r="E778" s="1"/>
      <c r="F778" s="1"/>
      <c r="G778" s="1"/>
      <c r="H778" s="1"/>
      <c r="I778" s="76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01" t="s">
        <v>1315</v>
      </c>
      <c r="V778" s="91" t="s">
        <v>1316</v>
      </c>
      <c r="W778" s="142">
        <v>12.0</v>
      </c>
      <c r="X778" s="142">
        <v>96.0</v>
      </c>
      <c r="Y778" s="142">
        <v>900.0</v>
      </c>
      <c r="Z778" s="103">
        <f t="shared" si="24"/>
        <v>0.5</v>
      </c>
      <c r="AA778" s="142" t="s">
        <v>105</v>
      </c>
      <c r="AB778" s="105">
        <v>513.19</v>
      </c>
      <c r="AC778" s="1"/>
      <c r="AD778" s="1"/>
      <c r="AE778" s="1"/>
      <c r="AF778" s="1"/>
      <c r="AG778" s="1"/>
    </row>
    <row r="779">
      <c r="A779" s="1"/>
      <c r="B779" s="1"/>
      <c r="C779" s="75"/>
      <c r="D779" s="1"/>
      <c r="E779" s="1"/>
      <c r="F779" s="1"/>
      <c r="G779" s="1"/>
      <c r="H779" s="1"/>
      <c r="I779" s="76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01" t="s">
        <v>1311</v>
      </c>
      <c r="V779" s="91" t="s">
        <v>1317</v>
      </c>
      <c r="W779" s="142">
        <v>24.0</v>
      </c>
      <c r="X779" s="142">
        <v>192.0</v>
      </c>
      <c r="Y779" s="142">
        <v>900.0</v>
      </c>
      <c r="Z779" s="103">
        <v>1.0</v>
      </c>
      <c r="AA779" s="142" t="s">
        <v>198</v>
      </c>
      <c r="AB779" s="105">
        <v>1026.38</v>
      </c>
      <c r="AC779" s="1"/>
      <c r="AD779" s="1"/>
      <c r="AE779" s="1"/>
      <c r="AF779" s="1"/>
      <c r="AG779" s="1"/>
    </row>
    <row r="780">
      <c r="A780" s="1"/>
      <c r="B780" s="1"/>
      <c r="C780" s="75"/>
      <c r="D780" s="1"/>
      <c r="E780" s="1"/>
      <c r="F780" s="1"/>
      <c r="G780" s="1"/>
      <c r="H780" s="1"/>
      <c r="I780" s="76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44" t="s">
        <v>1311</v>
      </c>
      <c r="V780" s="138" t="s">
        <v>1318</v>
      </c>
      <c r="W780" s="145">
        <v>48.0</v>
      </c>
      <c r="X780" s="145">
        <v>384.0</v>
      </c>
      <c r="Y780" s="145">
        <v>900.0</v>
      </c>
      <c r="Z780" s="146">
        <v>2.0</v>
      </c>
      <c r="AA780" s="145" t="s">
        <v>208</v>
      </c>
      <c r="AB780" s="147">
        <v>2052.76</v>
      </c>
      <c r="AC780" s="1"/>
      <c r="AD780" s="1"/>
      <c r="AE780" s="1"/>
      <c r="AF780" s="1"/>
      <c r="AG780" s="1"/>
    </row>
    <row r="781">
      <c r="A781" s="1"/>
      <c r="B781" s="1"/>
      <c r="C781" s="75"/>
      <c r="D781" s="1"/>
      <c r="E781" s="1"/>
      <c r="F781" s="1"/>
      <c r="G781" s="1"/>
      <c r="H781" s="1"/>
      <c r="I781" s="76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75"/>
      <c r="D782" s="1"/>
      <c r="E782" s="1"/>
      <c r="F782" s="1"/>
      <c r="G782" s="1"/>
      <c r="H782" s="1"/>
      <c r="I782" s="76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75"/>
      <c r="D783" s="1"/>
      <c r="E783" s="1"/>
      <c r="F783" s="1"/>
      <c r="G783" s="1"/>
      <c r="H783" s="1"/>
      <c r="I783" s="76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75"/>
      <c r="D784" s="1"/>
      <c r="E784" s="1"/>
      <c r="F784" s="1"/>
      <c r="G784" s="1"/>
      <c r="H784" s="1"/>
      <c r="I784" s="76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75"/>
      <c r="D785" s="1"/>
      <c r="E785" s="1"/>
      <c r="F785" s="1"/>
      <c r="G785" s="1"/>
      <c r="H785" s="1"/>
      <c r="I785" s="76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75"/>
      <c r="D786" s="1"/>
      <c r="E786" s="1"/>
      <c r="F786" s="1"/>
      <c r="G786" s="1"/>
      <c r="H786" s="1"/>
      <c r="I786" s="76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75"/>
      <c r="D787" s="1"/>
      <c r="E787" s="1"/>
      <c r="F787" s="1"/>
      <c r="G787" s="1"/>
      <c r="H787" s="1"/>
      <c r="I787" s="76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75"/>
      <c r="D788" s="1"/>
      <c r="E788" s="1"/>
      <c r="F788" s="1"/>
      <c r="G788" s="1"/>
      <c r="H788" s="1"/>
      <c r="I788" s="76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75"/>
      <c r="D789" s="1"/>
      <c r="E789" s="1"/>
      <c r="F789" s="1"/>
      <c r="G789" s="1"/>
      <c r="H789" s="1"/>
      <c r="I789" s="76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75"/>
      <c r="D790" s="1"/>
      <c r="E790" s="1"/>
      <c r="F790" s="1"/>
      <c r="G790" s="1"/>
      <c r="H790" s="1"/>
      <c r="I790" s="76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75"/>
      <c r="D791" s="1"/>
      <c r="E791" s="1"/>
      <c r="F791" s="1"/>
      <c r="G791" s="1"/>
      <c r="H791" s="1"/>
      <c r="I791" s="76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75"/>
      <c r="D792" s="1"/>
      <c r="E792" s="1"/>
      <c r="F792" s="1"/>
      <c r="G792" s="1"/>
      <c r="H792" s="1"/>
      <c r="I792" s="76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75"/>
      <c r="D793" s="1"/>
      <c r="E793" s="1"/>
      <c r="F793" s="1"/>
      <c r="G793" s="1"/>
      <c r="H793" s="1"/>
      <c r="I793" s="76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75"/>
      <c r="D794" s="1"/>
      <c r="E794" s="1"/>
      <c r="F794" s="1"/>
      <c r="G794" s="1"/>
      <c r="H794" s="1"/>
      <c r="I794" s="76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75"/>
      <c r="D795" s="1"/>
      <c r="E795" s="1"/>
      <c r="F795" s="1"/>
      <c r="G795" s="1"/>
      <c r="H795" s="1"/>
      <c r="I795" s="76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75"/>
      <c r="D796" s="1"/>
      <c r="E796" s="1"/>
      <c r="F796" s="1"/>
      <c r="G796" s="1"/>
      <c r="H796" s="1"/>
      <c r="I796" s="76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75"/>
      <c r="D797" s="1"/>
      <c r="E797" s="1"/>
      <c r="F797" s="1"/>
      <c r="G797" s="1"/>
      <c r="H797" s="1"/>
      <c r="I797" s="76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75"/>
      <c r="D798" s="1"/>
      <c r="E798" s="1"/>
      <c r="F798" s="1"/>
      <c r="G798" s="1"/>
      <c r="H798" s="1"/>
      <c r="I798" s="76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75"/>
      <c r="D799" s="1"/>
      <c r="E799" s="1"/>
      <c r="F799" s="1"/>
      <c r="G799" s="1"/>
      <c r="H799" s="1"/>
      <c r="I799" s="76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75"/>
      <c r="D800" s="1"/>
      <c r="E800" s="1"/>
      <c r="F800" s="1"/>
      <c r="G800" s="1"/>
      <c r="H800" s="1"/>
      <c r="I800" s="76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75"/>
      <c r="D801" s="1"/>
      <c r="E801" s="1"/>
      <c r="F801" s="1"/>
      <c r="G801" s="1"/>
      <c r="H801" s="1"/>
      <c r="I801" s="76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75"/>
      <c r="D802" s="1"/>
      <c r="E802" s="1"/>
      <c r="F802" s="1"/>
      <c r="G802" s="1"/>
      <c r="H802" s="1"/>
      <c r="I802" s="76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75"/>
      <c r="D803" s="1"/>
      <c r="E803" s="1"/>
      <c r="F803" s="1"/>
      <c r="G803" s="1"/>
      <c r="H803" s="1"/>
      <c r="I803" s="76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75"/>
      <c r="D804" s="1"/>
      <c r="E804" s="1"/>
      <c r="F804" s="1"/>
      <c r="G804" s="1"/>
      <c r="H804" s="1"/>
      <c r="I804" s="76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75"/>
      <c r="D805" s="1"/>
      <c r="E805" s="1"/>
      <c r="F805" s="1"/>
      <c r="G805" s="1"/>
      <c r="H805" s="1"/>
      <c r="I805" s="76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75"/>
      <c r="D806" s="1"/>
      <c r="E806" s="1"/>
      <c r="F806" s="1"/>
      <c r="G806" s="1"/>
      <c r="H806" s="1"/>
      <c r="I806" s="76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75"/>
      <c r="D807" s="1"/>
      <c r="E807" s="1"/>
      <c r="F807" s="1"/>
      <c r="G807" s="1"/>
      <c r="H807" s="1"/>
      <c r="I807" s="76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75"/>
      <c r="D808" s="1"/>
      <c r="E808" s="1"/>
      <c r="F808" s="1"/>
      <c r="G808" s="1"/>
      <c r="H808" s="1"/>
      <c r="I808" s="76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75"/>
      <c r="D809" s="1"/>
      <c r="E809" s="1"/>
      <c r="F809" s="1"/>
      <c r="G809" s="1"/>
      <c r="H809" s="1"/>
      <c r="I809" s="76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75"/>
      <c r="D810" s="1"/>
      <c r="E810" s="1"/>
      <c r="F810" s="1"/>
      <c r="G810" s="1"/>
      <c r="H810" s="1"/>
      <c r="I810" s="76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75"/>
      <c r="D811" s="1"/>
      <c r="E811" s="1"/>
      <c r="F811" s="1"/>
      <c r="G811" s="1"/>
      <c r="H811" s="1"/>
      <c r="I811" s="76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75"/>
      <c r="D812" s="1"/>
      <c r="E812" s="1"/>
      <c r="F812" s="1"/>
      <c r="G812" s="1"/>
      <c r="H812" s="1"/>
      <c r="I812" s="76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75"/>
      <c r="D813" s="1"/>
      <c r="E813" s="1"/>
      <c r="F813" s="1"/>
      <c r="G813" s="1"/>
      <c r="H813" s="1"/>
      <c r="I813" s="76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75"/>
      <c r="D814" s="1"/>
      <c r="E814" s="1"/>
      <c r="F814" s="1"/>
      <c r="G814" s="1"/>
      <c r="H814" s="1"/>
      <c r="I814" s="76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75"/>
      <c r="D815" s="1"/>
      <c r="E815" s="1"/>
      <c r="F815" s="1"/>
      <c r="G815" s="1"/>
      <c r="H815" s="1"/>
      <c r="I815" s="76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75"/>
      <c r="D816" s="1"/>
      <c r="E816" s="1"/>
      <c r="F816" s="1"/>
      <c r="G816" s="1"/>
      <c r="H816" s="1"/>
      <c r="I816" s="76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75"/>
      <c r="D817" s="1"/>
      <c r="E817" s="1"/>
      <c r="F817" s="1"/>
      <c r="G817" s="1"/>
      <c r="H817" s="1"/>
      <c r="I817" s="76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75"/>
      <c r="D818" s="1"/>
      <c r="E818" s="1"/>
      <c r="F818" s="1"/>
      <c r="G818" s="1"/>
      <c r="H818" s="1"/>
      <c r="I818" s="76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75"/>
      <c r="D819" s="1"/>
      <c r="E819" s="1"/>
      <c r="F819" s="1"/>
      <c r="G819" s="1"/>
      <c r="H819" s="1"/>
      <c r="I819" s="76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75"/>
      <c r="D820" s="1"/>
      <c r="E820" s="1"/>
      <c r="F820" s="1"/>
      <c r="G820" s="1"/>
      <c r="H820" s="1"/>
      <c r="I820" s="76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75"/>
      <c r="D821" s="1"/>
      <c r="E821" s="1"/>
      <c r="F821" s="1"/>
      <c r="G821" s="1"/>
      <c r="H821" s="1"/>
      <c r="I821" s="76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75"/>
      <c r="D822" s="1"/>
      <c r="E822" s="1"/>
      <c r="F822" s="1"/>
      <c r="G822" s="1"/>
      <c r="H822" s="1"/>
      <c r="I822" s="76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75"/>
      <c r="D823" s="1"/>
      <c r="E823" s="1"/>
      <c r="F823" s="1"/>
      <c r="G823" s="1"/>
      <c r="H823" s="1"/>
      <c r="I823" s="76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75"/>
      <c r="D824" s="1"/>
      <c r="E824" s="1"/>
      <c r="F824" s="1"/>
      <c r="G824" s="1"/>
      <c r="H824" s="1"/>
      <c r="I824" s="76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75"/>
      <c r="D825" s="1"/>
      <c r="E825" s="1"/>
      <c r="F825" s="1"/>
      <c r="G825" s="1"/>
      <c r="H825" s="1"/>
      <c r="I825" s="76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75"/>
      <c r="D826" s="1"/>
      <c r="E826" s="1"/>
      <c r="F826" s="1"/>
      <c r="G826" s="1"/>
      <c r="H826" s="1"/>
      <c r="I826" s="76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75"/>
      <c r="D827" s="1"/>
      <c r="E827" s="1"/>
      <c r="F827" s="1"/>
      <c r="G827" s="1"/>
      <c r="H827" s="1"/>
      <c r="I827" s="76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75"/>
      <c r="D828" s="1"/>
      <c r="E828" s="1"/>
      <c r="F828" s="1"/>
      <c r="G828" s="1"/>
      <c r="H828" s="1"/>
      <c r="I828" s="76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75"/>
      <c r="D829" s="1"/>
      <c r="E829" s="1"/>
      <c r="F829" s="1"/>
      <c r="G829" s="1"/>
      <c r="H829" s="1"/>
      <c r="I829" s="76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75"/>
      <c r="D830" s="1"/>
      <c r="E830" s="1"/>
      <c r="F830" s="1"/>
      <c r="G830" s="1"/>
      <c r="H830" s="1"/>
      <c r="I830" s="76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75"/>
      <c r="D831" s="1"/>
      <c r="E831" s="1"/>
      <c r="F831" s="1"/>
      <c r="G831" s="1"/>
      <c r="H831" s="1"/>
      <c r="I831" s="76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75"/>
      <c r="D832" s="1"/>
      <c r="E832" s="1"/>
      <c r="F832" s="1"/>
      <c r="G832" s="1"/>
      <c r="H832" s="1"/>
      <c r="I832" s="76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75"/>
      <c r="D833" s="1"/>
      <c r="E833" s="1"/>
      <c r="F833" s="1"/>
      <c r="G833" s="1"/>
      <c r="H833" s="1"/>
      <c r="I833" s="76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75"/>
      <c r="D834" s="1"/>
      <c r="E834" s="1"/>
      <c r="F834" s="1"/>
      <c r="G834" s="1"/>
      <c r="H834" s="1"/>
      <c r="I834" s="76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75"/>
      <c r="D835" s="1"/>
      <c r="E835" s="1"/>
      <c r="F835" s="1"/>
      <c r="G835" s="1"/>
      <c r="H835" s="1"/>
      <c r="I835" s="76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75"/>
      <c r="D836" s="1"/>
      <c r="E836" s="1"/>
      <c r="F836" s="1"/>
      <c r="G836" s="1"/>
      <c r="H836" s="1"/>
      <c r="I836" s="76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75"/>
      <c r="D837" s="1"/>
      <c r="E837" s="1"/>
      <c r="F837" s="1"/>
      <c r="G837" s="1"/>
      <c r="H837" s="1"/>
      <c r="I837" s="76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75"/>
      <c r="D838" s="1"/>
      <c r="E838" s="1"/>
      <c r="F838" s="1"/>
      <c r="G838" s="1"/>
      <c r="H838" s="1"/>
      <c r="I838" s="76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75"/>
      <c r="D839" s="1"/>
      <c r="E839" s="1"/>
      <c r="F839" s="1"/>
      <c r="G839" s="1"/>
      <c r="H839" s="1"/>
      <c r="I839" s="76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75"/>
      <c r="D840" s="1"/>
      <c r="E840" s="1"/>
      <c r="F840" s="1"/>
      <c r="G840" s="1"/>
      <c r="H840" s="1"/>
      <c r="I840" s="76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75"/>
      <c r="D841" s="1"/>
      <c r="E841" s="1"/>
      <c r="F841" s="1"/>
      <c r="G841" s="1"/>
      <c r="H841" s="1"/>
      <c r="I841" s="76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75"/>
      <c r="D842" s="1"/>
      <c r="E842" s="1"/>
      <c r="F842" s="1"/>
      <c r="G842" s="1"/>
      <c r="H842" s="1"/>
      <c r="I842" s="76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75"/>
      <c r="D843" s="1"/>
      <c r="E843" s="1"/>
      <c r="F843" s="1"/>
      <c r="G843" s="1"/>
      <c r="H843" s="1"/>
      <c r="I843" s="76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75"/>
      <c r="D844" s="1"/>
      <c r="E844" s="1"/>
      <c r="F844" s="1"/>
      <c r="G844" s="1"/>
      <c r="H844" s="1"/>
      <c r="I844" s="76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75"/>
      <c r="D845" s="1"/>
      <c r="E845" s="1"/>
      <c r="F845" s="1"/>
      <c r="G845" s="1"/>
      <c r="H845" s="1"/>
      <c r="I845" s="76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75"/>
      <c r="D846" s="1"/>
      <c r="E846" s="1"/>
      <c r="F846" s="1"/>
      <c r="G846" s="1"/>
      <c r="H846" s="1"/>
      <c r="I846" s="76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75"/>
      <c r="D847" s="1"/>
      <c r="E847" s="1"/>
      <c r="F847" s="1"/>
      <c r="G847" s="1"/>
      <c r="H847" s="1"/>
      <c r="I847" s="76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75"/>
      <c r="D848" s="1"/>
      <c r="E848" s="1"/>
      <c r="F848" s="1"/>
      <c r="G848" s="1"/>
      <c r="H848" s="1"/>
      <c r="I848" s="76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75"/>
      <c r="D849" s="1"/>
      <c r="E849" s="1"/>
      <c r="F849" s="1"/>
      <c r="G849" s="1"/>
      <c r="H849" s="1"/>
      <c r="I849" s="76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75"/>
      <c r="D850" s="1"/>
      <c r="E850" s="1"/>
      <c r="F850" s="1"/>
      <c r="G850" s="1"/>
      <c r="H850" s="1"/>
      <c r="I850" s="76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75"/>
      <c r="D851" s="1"/>
      <c r="E851" s="1"/>
      <c r="F851" s="1"/>
      <c r="G851" s="1"/>
      <c r="H851" s="1"/>
      <c r="I851" s="76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75"/>
      <c r="D852" s="1"/>
      <c r="E852" s="1"/>
      <c r="F852" s="1"/>
      <c r="G852" s="1"/>
      <c r="H852" s="1"/>
      <c r="I852" s="76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75"/>
      <c r="D853" s="1"/>
      <c r="E853" s="1"/>
      <c r="F853" s="1"/>
      <c r="G853" s="1"/>
      <c r="H853" s="1"/>
      <c r="I853" s="76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75"/>
      <c r="D854" s="1"/>
      <c r="E854" s="1"/>
      <c r="F854" s="1"/>
      <c r="G854" s="1"/>
      <c r="H854" s="1"/>
      <c r="I854" s="76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75"/>
      <c r="D855" s="1"/>
      <c r="E855" s="1"/>
      <c r="F855" s="1"/>
      <c r="G855" s="1"/>
      <c r="H855" s="1"/>
      <c r="I855" s="76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75"/>
      <c r="D856" s="1"/>
      <c r="E856" s="1"/>
      <c r="F856" s="1"/>
      <c r="G856" s="1"/>
      <c r="H856" s="1"/>
      <c r="I856" s="76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75"/>
      <c r="D857" s="1"/>
      <c r="E857" s="1"/>
      <c r="F857" s="1"/>
      <c r="G857" s="1"/>
      <c r="H857" s="1"/>
      <c r="I857" s="76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75"/>
      <c r="D858" s="1"/>
      <c r="E858" s="1"/>
      <c r="F858" s="1"/>
      <c r="G858" s="1"/>
      <c r="H858" s="1"/>
      <c r="I858" s="76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75"/>
      <c r="D859" s="1"/>
      <c r="E859" s="1"/>
      <c r="F859" s="1"/>
      <c r="G859" s="1"/>
      <c r="H859" s="1"/>
      <c r="I859" s="76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75"/>
      <c r="D860" s="1"/>
      <c r="E860" s="1"/>
      <c r="F860" s="1"/>
      <c r="G860" s="1"/>
      <c r="H860" s="1"/>
      <c r="I860" s="76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75"/>
      <c r="D861" s="1"/>
      <c r="E861" s="1"/>
      <c r="F861" s="1"/>
      <c r="G861" s="1"/>
      <c r="H861" s="1"/>
      <c r="I861" s="76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75"/>
      <c r="D862" s="1"/>
      <c r="E862" s="1"/>
      <c r="F862" s="1"/>
      <c r="G862" s="1"/>
      <c r="H862" s="1"/>
      <c r="I862" s="76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75"/>
      <c r="D863" s="1"/>
      <c r="E863" s="1"/>
      <c r="F863" s="1"/>
      <c r="G863" s="1"/>
      <c r="H863" s="1"/>
      <c r="I863" s="76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75"/>
      <c r="D864" s="1"/>
      <c r="E864" s="1"/>
      <c r="F864" s="1"/>
      <c r="G864" s="1"/>
      <c r="H864" s="1"/>
      <c r="I864" s="76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75"/>
      <c r="D865" s="1"/>
      <c r="E865" s="1"/>
      <c r="F865" s="1"/>
      <c r="G865" s="1"/>
      <c r="H865" s="1"/>
      <c r="I865" s="76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75"/>
      <c r="D866" s="1"/>
      <c r="E866" s="1"/>
      <c r="F866" s="1"/>
      <c r="G866" s="1"/>
      <c r="H866" s="1"/>
      <c r="I866" s="76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75"/>
      <c r="D867" s="1"/>
      <c r="E867" s="1"/>
      <c r="F867" s="1"/>
      <c r="G867" s="1"/>
      <c r="H867" s="1"/>
      <c r="I867" s="76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75"/>
      <c r="D868" s="1"/>
      <c r="E868" s="1"/>
      <c r="F868" s="1"/>
      <c r="G868" s="1"/>
      <c r="H868" s="1"/>
      <c r="I868" s="76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75"/>
      <c r="D869" s="1"/>
      <c r="E869" s="1"/>
      <c r="F869" s="1"/>
      <c r="G869" s="1"/>
      <c r="H869" s="1"/>
      <c r="I869" s="76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75"/>
      <c r="D870" s="1"/>
      <c r="E870" s="1"/>
      <c r="F870" s="1"/>
      <c r="G870" s="1"/>
      <c r="H870" s="1"/>
      <c r="I870" s="76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75"/>
      <c r="D871" s="1"/>
      <c r="E871" s="1"/>
      <c r="F871" s="1"/>
      <c r="G871" s="1"/>
      <c r="H871" s="1"/>
      <c r="I871" s="76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75"/>
      <c r="D872" s="1"/>
      <c r="E872" s="1"/>
      <c r="F872" s="1"/>
      <c r="G872" s="1"/>
      <c r="H872" s="1"/>
      <c r="I872" s="76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75"/>
      <c r="D873" s="1"/>
      <c r="E873" s="1"/>
      <c r="F873" s="1"/>
      <c r="G873" s="1"/>
      <c r="H873" s="1"/>
      <c r="I873" s="76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75"/>
      <c r="D874" s="1"/>
      <c r="E874" s="1"/>
      <c r="F874" s="1"/>
      <c r="G874" s="1"/>
      <c r="H874" s="1"/>
      <c r="I874" s="76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75"/>
      <c r="D875" s="1"/>
      <c r="E875" s="1"/>
      <c r="F875" s="1"/>
      <c r="G875" s="1"/>
      <c r="H875" s="1"/>
      <c r="I875" s="76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75"/>
      <c r="D876" s="1"/>
      <c r="E876" s="1"/>
      <c r="F876" s="1"/>
      <c r="G876" s="1"/>
      <c r="H876" s="1"/>
      <c r="I876" s="76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75"/>
      <c r="D877" s="1"/>
      <c r="E877" s="1"/>
      <c r="F877" s="1"/>
      <c r="G877" s="1"/>
      <c r="H877" s="1"/>
      <c r="I877" s="76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75"/>
      <c r="D878" s="1"/>
      <c r="E878" s="1"/>
      <c r="F878" s="1"/>
      <c r="G878" s="1"/>
      <c r="H878" s="1"/>
      <c r="I878" s="76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75"/>
      <c r="D879" s="1"/>
      <c r="E879" s="1"/>
      <c r="F879" s="1"/>
      <c r="G879" s="1"/>
      <c r="H879" s="1"/>
      <c r="I879" s="76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75"/>
      <c r="D880" s="1"/>
      <c r="E880" s="1"/>
      <c r="F880" s="1"/>
      <c r="G880" s="1"/>
      <c r="H880" s="1"/>
      <c r="I880" s="76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75"/>
      <c r="D881" s="1"/>
      <c r="E881" s="1"/>
      <c r="F881" s="1"/>
      <c r="G881" s="1"/>
      <c r="H881" s="1"/>
      <c r="I881" s="76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75"/>
      <c r="D882" s="1"/>
      <c r="E882" s="1"/>
      <c r="F882" s="1"/>
      <c r="G882" s="1"/>
      <c r="H882" s="1"/>
      <c r="I882" s="76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75"/>
      <c r="D883" s="1"/>
      <c r="E883" s="1"/>
      <c r="F883" s="1"/>
      <c r="G883" s="1"/>
      <c r="H883" s="1"/>
      <c r="I883" s="76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75"/>
      <c r="D884" s="1"/>
      <c r="E884" s="1"/>
      <c r="F884" s="1"/>
      <c r="G884" s="1"/>
      <c r="H884" s="1"/>
      <c r="I884" s="76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75"/>
      <c r="D885" s="1"/>
      <c r="E885" s="1"/>
      <c r="F885" s="1"/>
      <c r="G885" s="1"/>
      <c r="H885" s="1"/>
      <c r="I885" s="76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75"/>
      <c r="D886" s="1"/>
      <c r="E886" s="1"/>
      <c r="F886" s="1"/>
      <c r="G886" s="1"/>
      <c r="H886" s="1"/>
      <c r="I886" s="76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75"/>
      <c r="D887" s="1"/>
      <c r="E887" s="1"/>
      <c r="F887" s="1"/>
      <c r="G887" s="1"/>
      <c r="H887" s="1"/>
      <c r="I887" s="76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75"/>
      <c r="D888" s="1"/>
      <c r="E888" s="1"/>
      <c r="F888" s="1"/>
      <c r="G888" s="1"/>
      <c r="H888" s="1"/>
      <c r="I888" s="76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75"/>
      <c r="D889" s="1"/>
      <c r="E889" s="1"/>
      <c r="F889" s="1"/>
      <c r="G889" s="1"/>
      <c r="H889" s="1"/>
      <c r="I889" s="76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75"/>
      <c r="D890" s="1"/>
      <c r="E890" s="1"/>
      <c r="F890" s="1"/>
      <c r="G890" s="1"/>
      <c r="H890" s="1"/>
      <c r="I890" s="76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75"/>
      <c r="D891" s="1"/>
      <c r="E891" s="1"/>
      <c r="F891" s="1"/>
      <c r="G891" s="1"/>
      <c r="H891" s="1"/>
      <c r="I891" s="76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75"/>
      <c r="D892" s="1"/>
      <c r="E892" s="1"/>
      <c r="F892" s="1"/>
      <c r="G892" s="1"/>
      <c r="H892" s="1"/>
      <c r="I892" s="76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75"/>
      <c r="D893" s="1"/>
      <c r="E893" s="1"/>
      <c r="F893" s="1"/>
      <c r="G893" s="1"/>
      <c r="H893" s="1"/>
      <c r="I893" s="76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75"/>
      <c r="D894" s="1"/>
      <c r="E894" s="1"/>
      <c r="F894" s="1"/>
      <c r="G894" s="1"/>
      <c r="H894" s="1"/>
      <c r="I894" s="76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75"/>
      <c r="D895" s="1"/>
      <c r="E895" s="1"/>
      <c r="F895" s="1"/>
      <c r="G895" s="1"/>
      <c r="H895" s="1"/>
      <c r="I895" s="76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75"/>
      <c r="D896" s="1"/>
      <c r="E896" s="1"/>
      <c r="F896" s="1"/>
      <c r="G896" s="1"/>
      <c r="H896" s="1"/>
      <c r="I896" s="76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75"/>
      <c r="D897" s="1"/>
      <c r="E897" s="1"/>
      <c r="F897" s="1"/>
      <c r="G897" s="1"/>
      <c r="H897" s="1"/>
      <c r="I897" s="76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75"/>
      <c r="D898" s="1"/>
      <c r="E898" s="1"/>
      <c r="F898" s="1"/>
      <c r="G898" s="1"/>
      <c r="H898" s="1"/>
      <c r="I898" s="76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75"/>
      <c r="D899" s="1"/>
      <c r="E899" s="1"/>
      <c r="F899" s="1"/>
      <c r="G899" s="1"/>
      <c r="H899" s="1"/>
      <c r="I899" s="76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75"/>
      <c r="D900" s="1"/>
      <c r="E900" s="1"/>
      <c r="F900" s="1"/>
      <c r="G900" s="1"/>
      <c r="H900" s="1"/>
      <c r="I900" s="76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75"/>
      <c r="D901" s="1"/>
      <c r="E901" s="1"/>
      <c r="F901" s="1"/>
      <c r="G901" s="1"/>
      <c r="H901" s="1"/>
      <c r="I901" s="76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75"/>
      <c r="D902" s="1"/>
      <c r="E902" s="1"/>
      <c r="F902" s="1"/>
      <c r="G902" s="1"/>
      <c r="H902" s="1"/>
      <c r="I902" s="76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75"/>
      <c r="D903" s="1"/>
      <c r="E903" s="1"/>
      <c r="F903" s="1"/>
      <c r="G903" s="1"/>
      <c r="H903" s="1"/>
      <c r="I903" s="76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75"/>
      <c r="D904" s="1"/>
      <c r="E904" s="1"/>
      <c r="F904" s="1"/>
      <c r="G904" s="1"/>
      <c r="H904" s="1"/>
      <c r="I904" s="76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75"/>
      <c r="D905" s="1"/>
      <c r="E905" s="1"/>
      <c r="F905" s="1"/>
      <c r="G905" s="1"/>
      <c r="H905" s="1"/>
      <c r="I905" s="76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75"/>
      <c r="D906" s="1"/>
      <c r="E906" s="1"/>
      <c r="F906" s="1"/>
      <c r="G906" s="1"/>
      <c r="H906" s="1"/>
      <c r="I906" s="76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75"/>
      <c r="D907" s="1"/>
      <c r="E907" s="1"/>
      <c r="F907" s="1"/>
      <c r="G907" s="1"/>
      <c r="H907" s="1"/>
      <c r="I907" s="76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75"/>
      <c r="D908" s="1"/>
      <c r="E908" s="1"/>
      <c r="F908" s="1"/>
      <c r="G908" s="1"/>
      <c r="H908" s="1"/>
      <c r="I908" s="76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75"/>
      <c r="D909" s="1"/>
      <c r="E909" s="1"/>
      <c r="F909" s="1"/>
      <c r="G909" s="1"/>
      <c r="H909" s="1"/>
      <c r="I909" s="76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75"/>
      <c r="D910" s="1"/>
      <c r="E910" s="1"/>
      <c r="F910" s="1"/>
      <c r="G910" s="1"/>
      <c r="H910" s="1"/>
      <c r="I910" s="76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75"/>
      <c r="D911" s="1"/>
      <c r="E911" s="1"/>
      <c r="F911" s="1"/>
      <c r="G911" s="1"/>
      <c r="H911" s="1"/>
      <c r="I911" s="76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75"/>
      <c r="D912" s="1"/>
      <c r="E912" s="1"/>
      <c r="F912" s="1"/>
      <c r="G912" s="1"/>
      <c r="H912" s="1"/>
      <c r="I912" s="76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75"/>
      <c r="D913" s="1"/>
      <c r="E913" s="1"/>
      <c r="F913" s="1"/>
      <c r="G913" s="1"/>
      <c r="H913" s="1"/>
      <c r="I913" s="76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75"/>
      <c r="D914" s="1"/>
      <c r="E914" s="1"/>
      <c r="F914" s="1"/>
      <c r="G914" s="1"/>
      <c r="H914" s="1"/>
      <c r="I914" s="76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75"/>
      <c r="D915" s="1"/>
      <c r="E915" s="1"/>
      <c r="F915" s="1"/>
      <c r="G915" s="1"/>
      <c r="H915" s="1"/>
      <c r="I915" s="76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75"/>
      <c r="D916" s="1"/>
      <c r="E916" s="1"/>
      <c r="F916" s="1"/>
      <c r="G916" s="1"/>
      <c r="H916" s="1"/>
      <c r="I916" s="76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75"/>
      <c r="D917" s="1"/>
      <c r="E917" s="1"/>
      <c r="F917" s="1"/>
      <c r="G917" s="1"/>
      <c r="H917" s="1"/>
      <c r="I917" s="76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75"/>
      <c r="D918" s="1"/>
      <c r="E918" s="1"/>
      <c r="F918" s="1"/>
      <c r="G918" s="1"/>
      <c r="H918" s="1"/>
      <c r="I918" s="76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75"/>
      <c r="D919" s="1"/>
      <c r="E919" s="1"/>
      <c r="F919" s="1"/>
      <c r="G919" s="1"/>
      <c r="H919" s="1"/>
      <c r="I919" s="76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75"/>
      <c r="D920" s="1"/>
      <c r="E920" s="1"/>
      <c r="F920" s="1"/>
      <c r="G920" s="1"/>
      <c r="H920" s="1"/>
      <c r="I920" s="76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75"/>
      <c r="D921" s="1"/>
      <c r="E921" s="1"/>
      <c r="F921" s="1"/>
      <c r="G921" s="1"/>
      <c r="H921" s="1"/>
      <c r="I921" s="76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75"/>
      <c r="D922" s="1"/>
      <c r="E922" s="1"/>
      <c r="F922" s="1"/>
      <c r="G922" s="1"/>
      <c r="H922" s="1"/>
      <c r="I922" s="76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75"/>
      <c r="D923" s="1"/>
      <c r="E923" s="1"/>
      <c r="F923" s="1"/>
      <c r="G923" s="1"/>
      <c r="H923" s="1"/>
      <c r="I923" s="76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75"/>
      <c r="D924" s="1"/>
      <c r="E924" s="1"/>
      <c r="F924" s="1"/>
      <c r="G924" s="1"/>
      <c r="H924" s="1"/>
      <c r="I924" s="76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75"/>
      <c r="D925" s="1"/>
      <c r="E925" s="1"/>
      <c r="F925" s="1"/>
      <c r="G925" s="1"/>
      <c r="H925" s="1"/>
      <c r="I925" s="76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75"/>
      <c r="D926" s="1"/>
      <c r="E926" s="1"/>
      <c r="F926" s="1"/>
      <c r="G926" s="1"/>
      <c r="H926" s="1"/>
      <c r="I926" s="76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75"/>
      <c r="D927" s="1"/>
      <c r="E927" s="1"/>
      <c r="F927" s="1"/>
      <c r="G927" s="1"/>
      <c r="H927" s="1"/>
      <c r="I927" s="76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75"/>
      <c r="D928" s="1"/>
      <c r="E928" s="1"/>
      <c r="F928" s="1"/>
      <c r="G928" s="1"/>
      <c r="H928" s="1"/>
      <c r="I928" s="76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75"/>
      <c r="D929" s="1"/>
      <c r="E929" s="1"/>
      <c r="F929" s="1"/>
      <c r="G929" s="1"/>
      <c r="H929" s="1"/>
      <c r="I929" s="76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75"/>
      <c r="D930" s="1"/>
      <c r="E930" s="1"/>
      <c r="F930" s="1"/>
      <c r="G930" s="1"/>
      <c r="H930" s="1"/>
      <c r="I930" s="76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75"/>
      <c r="D931" s="1"/>
      <c r="E931" s="1"/>
      <c r="F931" s="1"/>
      <c r="G931" s="1"/>
      <c r="H931" s="1"/>
      <c r="I931" s="76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75"/>
      <c r="D932" s="1"/>
      <c r="E932" s="1"/>
      <c r="F932" s="1"/>
      <c r="G932" s="1"/>
      <c r="H932" s="1"/>
      <c r="I932" s="76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75"/>
      <c r="D933" s="1"/>
      <c r="E933" s="1"/>
      <c r="F933" s="1"/>
      <c r="G933" s="1"/>
      <c r="H933" s="1"/>
      <c r="I933" s="76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75"/>
      <c r="D934" s="1"/>
      <c r="E934" s="1"/>
      <c r="F934" s="1"/>
      <c r="G934" s="1"/>
      <c r="H934" s="1"/>
      <c r="I934" s="76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75"/>
      <c r="D935" s="1"/>
      <c r="E935" s="1"/>
      <c r="F935" s="1"/>
      <c r="G935" s="1"/>
      <c r="H935" s="1"/>
      <c r="I935" s="76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75"/>
      <c r="D936" s="1"/>
      <c r="E936" s="1"/>
      <c r="F936" s="1"/>
      <c r="G936" s="1"/>
      <c r="H936" s="1"/>
      <c r="I936" s="76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75"/>
      <c r="D937" s="1"/>
      <c r="E937" s="1"/>
      <c r="F937" s="1"/>
      <c r="G937" s="1"/>
      <c r="H937" s="1"/>
      <c r="I937" s="76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75"/>
      <c r="D938" s="1"/>
      <c r="E938" s="1"/>
      <c r="F938" s="1"/>
      <c r="G938" s="1"/>
      <c r="H938" s="1"/>
      <c r="I938" s="76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75"/>
      <c r="D939" s="1"/>
      <c r="E939" s="1"/>
      <c r="F939" s="1"/>
      <c r="G939" s="1"/>
      <c r="H939" s="1"/>
      <c r="I939" s="76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75"/>
      <c r="D940" s="1"/>
      <c r="E940" s="1"/>
      <c r="F940" s="1"/>
      <c r="G940" s="1"/>
      <c r="H940" s="1"/>
      <c r="I940" s="76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75"/>
      <c r="D941" s="1"/>
      <c r="E941" s="1"/>
      <c r="F941" s="1"/>
      <c r="G941" s="1"/>
      <c r="H941" s="1"/>
      <c r="I941" s="76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75"/>
      <c r="D942" s="1"/>
      <c r="E942" s="1"/>
      <c r="F942" s="1"/>
      <c r="G942" s="1"/>
      <c r="H942" s="1"/>
      <c r="I942" s="76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75"/>
      <c r="D943" s="1"/>
      <c r="E943" s="1"/>
      <c r="F943" s="1"/>
      <c r="G943" s="1"/>
      <c r="H943" s="1"/>
      <c r="I943" s="76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75"/>
      <c r="D944" s="1"/>
      <c r="E944" s="1"/>
      <c r="F944" s="1"/>
      <c r="G944" s="1"/>
      <c r="H944" s="1"/>
      <c r="I944" s="76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75"/>
      <c r="D945" s="1"/>
      <c r="E945" s="1"/>
      <c r="F945" s="1"/>
      <c r="G945" s="1"/>
      <c r="H945" s="1"/>
      <c r="I945" s="76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75"/>
      <c r="D946" s="1"/>
      <c r="E946" s="1"/>
      <c r="F946" s="1"/>
      <c r="G946" s="1"/>
      <c r="H946" s="1"/>
      <c r="I946" s="76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75"/>
      <c r="D947" s="1"/>
      <c r="E947" s="1"/>
      <c r="F947" s="1"/>
      <c r="G947" s="1"/>
      <c r="H947" s="1"/>
      <c r="I947" s="76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75"/>
      <c r="D948" s="1"/>
      <c r="E948" s="1"/>
      <c r="F948" s="1"/>
      <c r="G948" s="1"/>
      <c r="H948" s="1"/>
      <c r="I948" s="76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75"/>
      <c r="D949" s="1"/>
      <c r="E949" s="1"/>
      <c r="F949" s="1"/>
      <c r="G949" s="1"/>
      <c r="H949" s="1"/>
      <c r="I949" s="76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75"/>
      <c r="D950" s="1"/>
      <c r="E950" s="1"/>
      <c r="F950" s="1"/>
      <c r="G950" s="1"/>
      <c r="H950" s="1"/>
      <c r="I950" s="76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75"/>
      <c r="D951" s="1"/>
      <c r="E951" s="1"/>
      <c r="F951" s="1"/>
      <c r="G951" s="1"/>
      <c r="H951" s="1"/>
      <c r="I951" s="76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75"/>
      <c r="D952" s="1"/>
      <c r="E952" s="1"/>
      <c r="F952" s="1"/>
      <c r="G952" s="1"/>
      <c r="H952" s="1"/>
      <c r="I952" s="76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75"/>
      <c r="D953" s="1"/>
      <c r="E953" s="1"/>
      <c r="F953" s="1"/>
      <c r="G953" s="1"/>
      <c r="H953" s="1"/>
      <c r="I953" s="76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75"/>
      <c r="D954" s="1"/>
      <c r="E954" s="1"/>
      <c r="F954" s="1"/>
      <c r="G954" s="1"/>
      <c r="H954" s="1"/>
      <c r="I954" s="76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75"/>
      <c r="D955" s="1"/>
      <c r="E955" s="1"/>
      <c r="F955" s="1"/>
      <c r="G955" s="1"/>
      <c r="H955" s="1"/>
      <c r="I955" s="76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75"/>
      <c r="D956" s="1"/>
      <c r="E956" s="1"/>
      <c r="F956" s="1"/>
      <c r="G956" s="1"/>
      <c r="H956" s="1"/>
      <c r="I956" s="76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75"/>
      <c r="D957" s="1"/>
      <c r="E957" s="1"/>
      <c r="F957" s="1"/>
      <c r="G957" s="1"/>
      <c r="H957" s="1"/>
      <c r="I957" s="76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75"/>
      <c r="D958" s="1"/>
      <c r="E958" s="1"/>
      <c r="F958" s="1"/>
      <c r="G958" s="1"/>
      <c r="H958" s="1"/>
      <c r="I958" s="76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75"/>
      <c r="D959" s="1"/>
      <c r="E959" s="1"/>
      <c r="F959" s="1"/>
      <c r="G959" s="1"/>
      <c r="H959" s="1"/>
      <c r="I959" s="76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75"/>
      <c r="D960" s="1"/>
      <c r="E960" s="1"/>
      <c r="F960" s="1"/>
      <c r="G960" s="1"/>
      <c r="H960" s="1"/>
      <c r="I960" s="76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75"/>
      <c r="D961" s="1"/>
      <c r="E961" s="1"/>
      <c r="F961" s="1"/>
      <c r="G961" s="1"/>
      <c r="H961" s="1"/>
      <c r="I961" s="76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75"/>
      <c r="D962" s="1"/>
      <c r="E962" s="1"/>
      <c r="F962" s="1"/>
      <c r="G962" s="1"/>
      <c r="H962" s="1"/>
      <c r="I962" s="76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75"/>
      <c r="D963" s="1"/>
      <c r="E963" s="1"/>
      <c r="F963" s="1"/>
      <c r="G963" s="1"/>
      <c r="H963" s="1"/>
      <c r="I963" s="76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75"/>
      <c r="D964" s="1"/>
      <c r="E964" s="1"/>
      <c r="F964" s="1"/>
      <c r="G964" s="1"/>
      <c r="H964" s="1"/>
      <c r="I964" s="76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75"/>
      <c r="D965" s="1"/>
      <c r="E965" s="1"/>
      <c r="F965" s="1"/>
      <c r="G965" s="1"/>
      <c r="H965" s="1"/>
      <c r="I965" s="76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75"/>
      <c r="D966" s="1"/>
      <c r="E966" s="1"/>
      <c r="F966" s="1"/>
      <c r="G966" s="1"/>
      <c r="H966" s="1"/>
      <c r="I966" s="76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75"/>
      <c r="D967" s="1"/>
      <c r="E967" s="1"/>
      <c r="F967" s="1"/>
      <c r="G967" s="1"/>
      <c r="H967" s="1"/>
      <c r="I967" s="76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75"/>
      <c r="D968" s="1"/>
      <c r="E968" s="1"/>
      <c r="F968" s="1"/>
      <c r="G968" s="1"/>
      <c r="H968" s="1"/>
      <c r="I968" s="76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75"/>
      <c r="D969" s="1"/>
      <c r="E969" s="1"/>
      <c r="F969" s="1"/>
      <c r="G969" s="1"/>
      <c r="H969" s="1"/>
      <c r="I969" s="76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75"/>
      <c r="D970" s="1"/>
      <c r="E970" s="1"/>
      <c r="F970" s="1"/>
      <c r="G970" s="1"/>
      <c r="H970" s="1"/>
      <c r="I970" s="76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75"/>
      <c r="D971" s="1"/>
      <c r="E971" s="1"/>
      <c r="F971" s="1"/>
      <c r="G971" s="1"/>
      <c r="H971" s="1"/>
      <c r="I971" s="76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75"/>
      <c r="D972" s="1"/>
      <c r="E972" s="1"/>
      <c r="F972" s="1"/>
      <c r="G972" s="1"/>
      <c r="H972" s="1"/>
      <c r="I972" s="76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75"/>
      <c r="D973" s="1"/>
      <c r="E973" s="1"/>
      <c r="F973" s="1"/>
      <c r="G973" s="1"/>
      <c r="H973" s="1"/>
      <c r="I973" s="76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75"/>
      <c r="D974" s="1"/>
      <c r="E974" s="1"/>
      <c r="F974" s="1"/>
      <c r="G974" s="1"/>
      <c r="H974" s="1"/>
      <c r="I974" s="76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75"/>
      <c r="D975" s="1"/>
      <c r="E975" s="1"/>
      <c r="F975" s="1"/>
      <c r="G975" s="1"/>
      <c r="H975" s="1"/>
      <c r="I975" s="76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75"/>
      <c r="D976" s="1"/>
      <c r="E976" s="1"/>
      <c r="F976" s="1"/>
      <c r="G976" s="1"/>
      <c r="H976" s="1"/>
      <c r="I976" s="76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75"/>
      <c r="D977" s="1"/>
      <c r="E977" s="1"/>
      <c r="F977" s="1"/>
      <c r="G977" s="1"/>
      <c r="H977" s="1"/>
      <c r="I977" s="76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75"/>
      <c r="D978" s="1"/>
      <c r="E978" s="1"/>
      <c r="F978" s="1"/>
      <c r="G978" s="1"/>
      <c r="H978" s="1"/>
      <c r="I978" s="76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75"/>
      <c r="D979" s="1"/>
      <c r="E979" s="1"/>
      <c r="F979" s="1"/>
      <c r="G979" s="1"/>
      <c r="H979" s="1"/>
      <c r="I979" s="76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75"/>
      <c r="D980" s="1"/>
      <c r="E980" s="1"/>
      <c r="F980" s="1"/>
      <c r="G980" s="1"/>
      <c r="H980" s="1"/>
      <c r="I980" s="76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75"/>
      <c r="D981" s="1"/>
      <c r="E981" s="1"/>
      <c r="F981" s="1"/>
      <c r="G981" s="1"/>
      <c r="H981" s="1"/>
      <c r="I981" s="76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75"/>
      <c r="D982" s="1"/>
      <c r="E982" s="1"/>
      <c r="F982" s="1"/>
      <c r="G982" s="1"/>
      <c r="H982" s="1"/>
      <c r="I982" s="76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75"/>
      <c r="D983" s="1"/>
      <c r="E983" s="1"/>
      <c r="F983" s="1"/>
      <c r="G983" s="1"/>
      <c r="H983" s="1"/>
      <c r="I983" s="76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75"/>
      <c r="D984" s="1"/>
      <c r="E984" s="1"/>
      <c r="F984" s="1"/>
      <c r="G984" s="1"/>
      <c r="H984" s="1"/>
      <c r="I984" s="76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75"/>
      <c r="D985" s="1"/>
      <c r="E985" s="1"/>
      <c r="F985" s="1"/>
      <c r="G985" s="1"/>
      <c r="H985" s="1"/>
      <c r="I985" s="76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75"/>
      <c r="D986" s="1"/>
      <c r="E986" s="1"/>
      <c r="F986" s="1"/>
      <c r="G986" s="1"/>
      <c r="H986" s="1"/>
      <c r="I986" s="76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75"/>
      <c r="D987" s="1"/>
      <c r="E987" s="1"/>
      <c r="F987" s="1"/>
      <c r="G987" s="1"/>
      <c r="H987" s="1"/>
      <c r="I987" s="76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75"/>
      <c r="D988" s="1"/>
      <c r="E988" s="1"/>
      <c r="F988" s="1"/>
      <c r="G988" s="1"/>
      <c r="H988" s="1"/>
      <c r="I988" s="76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75"/>
      <c r="D989" s="1"/>
      <c r="E989" s="1"/>
      <c r="F989" s="1"/>
      <c r="G989" s="1"/>
      <c r="H989" s="1"/>
      <c r="I989" s="76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75"/>
      <c r="D990" s="1"/>
      <c r="E990" s="1"/>
      <c r="F990" s="1"/>
      <c r="G990" s="1"/>
      <c r="H990" s="1"/>
      <c r="I990" s="76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75"/>
      <c r="D991" s="1"/>
      <c r="E991" s="1"/>
      <c r="F991" s="1"/>
      <c r="G991" s="1"/>
      <c r="H991" s="1"/>
      <c r="I991" s="76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75"/>
      <c r="D992" s="1"/>
      <c r="E992" s="1"/>
      <c r="F992" s="1"/>
      <c r="G992" s="1"/>
      <c r="H992" s="1"/>
      <c r="I992" s="76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75"/>
      <c r="D993" s="1"/>
      <c r="E993" s="1"/>
      <c r="F993" s="1"/>
      <c r="G993" s="1"/>
      <c r="H993" s="1"/>
      <c r="I993" s="76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75"/>
      <c r="D994" s="1"/>
      <c r="E994" s="1"/>
      <c r="F994" s="1"/>
      <c r="G994" s="1"/>
      <c r="H994" s="1"/>
      <c r="I994" s="76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75"/>
      <c r="D995" s="1"/>
      <c r="E995" s="1"/>
      <c r="F995" s="1"/>
      <c r="G995" s="1"/>
      <c r="H995" s="1"/>
      <c r="I995" s="76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75"/>
      <c r="D996" s="1"/>
      <c r="E996" s="1"/>
      <c r="F996" s="1"/>
      <c r="G996" s="1"/>
      <c r="H996" s="1"/>
      <c r="I996" s="76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75"/>
      <c r="D997" s="1"/>
      <c r="E997" s="1"/>
      <c r="F997" s="1"/>
      <c r="G997" s="1"/>
      <c r="H997" s="1"/>
      <c r="I997" s="76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75"/>
      <c r="D998" s="1"/>
      <c r="E998" s="1"/>
      <c r="F998" s="1"/>
      <c r="G998" s="1"/>
      <c r="H998" s="1"/>
      <c r="I998" s="76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75"/>
      <c r="D999" s="1"/>
      <c r="E999" s="1"/>
      <c r="F999" s="1"/>
      <c r="G999" s="1"/>
      <c r="H999" s="1"/>
      <c r="I999" s="76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75"/>
      <c r="D1000" s="1"/>
      <c r="E1000" s="1"/>
      <c r="F1000" s="1"/>
      <c r="G1000" s="1"/>
      <c r="H1000" s="1"/>
      <c r="I1000" s="76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>
      <c r="A1001" s="1"/>
      <c r="B1001" s="1"/>
      <c r="C1001" s="75"/>
      <c r="D1001" s="1"/>
      <c r="E1001" s="1"/>
      <c r="F1001" s="1"/>
      <c r="G1001" s="1"/>
      <c r="H1001" s="1"/>
      <c r="I1001" s="76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>
      <c r="A1002" s="1"/>
      <c r="B1002" s="1"/>
      <c r="C1002" s="75"/>
      <c r="D1002" s="1"/>
      <c r="E1002" s="1"/>
      <c r="F1002" s="1"/>
      <c r="G1002" s="1"/>
      <c r="H1002" s="1"/>
      <c r="I1002" s="76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  <row r="1003">
      <c r="A1003" s="1"/>
      <c r="B1003" s="1"/>
      <c r="C1003" s="75"/>
      <c r="D1003" s="1"/>
      <c r="E1003" s="1"/>
      <c r="F1003" s="1"/>
      <c r="G1003" s="1"/>
      <c r="H1003" s="1"/>
      <c r="I1003" s="76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</row>
    <row r="1004">
      <c r="A1004" s="1"/>
      <c r="B1004" s="1"/>
      <c r="C1004" s="75"/>
      <c r="D1004" s="1"/>
      <c r="E1004" s="1"/>
      <c r="F1004" s="1"/>
      <c r="G1004" s="1"/>
      <c r="H1004" s="1"/>
      <c r="I1004" s="76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</row>
    <row r="1005">
      <c r="A1005" s="1"/>
      <c r="B1005" s="1"/>
      <c r="C1005" s="75"/>
      <c r="D1005" s="1"/>
      <c r="E1005" s="1"/>
      <c r="F1005" s="1"/>
      <c r="G1005" s="1"/>
      <c r="H1005" s="1"/>
      <c r="I1005" s="76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</row>
    <row r="1006">
      <c r="A1006" s="1"/>
      <c r="B1006" s="1"/>
      <c r="C1006" s="75"/>
      <c r="D1006" s="1"/>
      <c r="E1006" s="1"/>
      <c r="F1006" s="1"/>
      <c r="G1006" s="1"/>
      <c r="H1006" s="1"/>
      <c r="I1006" s="76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</row>
    <row r="1007">
      <c r="A1007" s="1"/>
      <c r="B1007" s="1"/>
      <c r="C1007" s="75"/>
      <c r="D1007" s="1"/>
      <c r="E1007" s="1"/>
      <c r="F1007" s="1"/>
      <c r="G1007" s="1"/>
      <c r="H1007" s="1"/>
      <c r="I1007" s="76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</row>
    <row r="1008">
      <c r="A1008" s="1"/>
      <c r="B1008" s="1"/>
      <c r="C1008" s="75"/>
      <c r="D1008" s="1"/>
      <c r="E1008" s="1"/>
      <c r="F1008" s="1"/>
      <c r="G1008" s="1"/>
      <c r="H1008" s="1"/>
      <c r="I1008" s="76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</row>
    <row r="1009">
      <c r="A1009" s="1"/>
      <c r="B1009" s="1"/>
      <c r="C1009" s="75"/>
      <c r="D1009" s="1"/>
      <c r="E1009" s="1"/>
      <c r="F1009" s="1"/>
      <c r="G1009" s="1"/>
      <c r="H1009" s="1"/>
      <c r="I1009" s="76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</row>
    <row r="1010">
      <c r="A1010" s="1"/>
      <c r="B1010" s="1"/>
      <c r="C1010" s="75"/>
      <c r="D1010" s="1"/>
      <c r="E1010" s="1"/>
      <c r="F1010" s="1"/>
      <c r="G1010" s="1"/>
      <c r="H1010" s="1"/>
      <c r="I1010" s="76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</row>
    <row r="1011">
      <c r="A1011" s="1"/>
      <c r="B1011" s="1"/>
      <c r="C1011" s="75"/>
      <c r="D1011" s="1"/>
      <c r="E1011" s="1"/>
      <c r="F1011" s="1"/>
      <c r="G1011" s="1"/>
      <c r="H1011" s="1"/>
      <c r="I1011" s="76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</row>
    <row r="1012">
      <c r="A1012" s="1"/>
      <c r="B1012" s="1"/>
      <c r="C1012" s="75"/>
      <c r="D1012" s="1"/>
      <c r="E1012" s="1"/>
      <c r="F1012" s="1"/>
      <c r="G1012" s="1"/>
      <c r="H1012" s="1"/>
      <c r="I1012" s="76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</row>
    <row r="1013">
      <c r="A1013" s="1"/>
      <c r="B1013" s="1"/>
      <c r="C1013" s="75"/>
      <c r="D1013" s="1"/>
      <c r="E1013" s="1"/>
      <c r="F1013" s="1"/>
      <c r="G1013" s="1"/>
      <c r="H1013" s="1"/>
      <c r="I1013" s="76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</row>
    <row r="1014">
      <c r="A1014" s="1"/>
      <c r="B1014" s="1"/>
      <c r="C1014" s="75"/>
      <c r="D1014" s="1"/>
      <c r="E1014" s="1"/>
      <c r="F1014" s="1"/>
      <c r="G1014" s="1"/>
      <c r="H1014" s="1"/>
      <c r="I1014" s="76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</row>
    <row r="1015">
      <c r="A1015" s="1"/>
      <c r="B1015" s="1"/>
      <c r="C1015" s="75"/>
      <c r="D1015" s="1"/>
      <c r="E1015" s="1"/>
      <c r="F1015" s="1"/>
      <c r="G1015" s="1"/>
      <c r="H1015" s="1"/>
      <c r="I1015" s="76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</row>
    <row r="1016">
      <c r="A1016" s="1"/>
      <c r="B1016" s="1"/>
      <c r="C1016" s="75"/>
      <c r="D1016" s="1"/>
      <c r="E1016" s="1"/>
      <c r="F1016" s="1"/>
      <c r="G1016" s="1"/>
      <c r="H1016" s="1"/>
      <c r="I1016" s="76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</row>
    <row r="1017">
      <c r="A1017" s="1"/>
      <c r="B1017" s="1"/>
      <c r="C1017" s="75"/>
      <c r="D1017" s="1"/>
      <c r="E1017" s="1"/>
      <c r="F1017" s="1"/>
      <c r="G1017" s="1"/>
      <c r="H1017" s="1"/>
      <c r="I1017" s="76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</row>
    <row r="1018">
      <c r="A1018" s="1"/>
      <c r="B1018" s="1"/>
      <c r="C1018" s="75"/>
      <c r="D1018" s="1"/>
      <c r="E1018" s="1"/>
      <c r="F1018" s="1"/>
      <c r="G1018" s="1"/>
      <c r="H1018" s="1"/>
      <c r="I1018" s="76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</row>
    <row r="1019">
      <c r="A1019" s="1"/>
      <c r="B1019" s="1"/>
      <c r="C1019" s="75"/>
      <c r="D1019" s="1"/>
      <c r="E1019" s="1"/>
      <c r="F1019" s="1"/>
      <c r="G1019" s="1"/>
      <c r="H1019" s="1"/>
      <c r="I1019" s="76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</row>
    <row r="1020">
      <c r="A1020" s="1"/>
      <c r="B1020" s="1"/>
      <c r="C1020" s="75"/>
      <c r="D1020" s="1"/>
      <c r="E1020" s="1"/>
      <c r="F1020" s="1"/>
      <c r="G1020" s="1"/>
      <c r="H1020" s="1"/>
      <c r="I1020" s="76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</row>
    <row r="1021">
      <c r="A1021" s="1"/>
      <c r="B1021" s="1"/>
      <c r="C1021" s="75"/>
      <c r="D1021" s="1"/>
      <c r="E1021" s="1"/>
      <c r="F1021" s="1"/>
      <c r="G1021" s="1"/>
      <c r="H1021" s="1"/>
      <c r="I1021" s="76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</row>
    <row r="1022">
      <c r="A1022" s="1"/>
      <c r="B1022" s="1"/>
      <c r="C1022" s="75"/>
      <c r="D1022" s="1"/>
      <c r="E1022" s="1"/>
      <c r="F1022" s="1"/>
      <c r="G1022" s="1"/>
      <c r="H1022" s="1"/>
      <c r="I1022" s="76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</row>
    <row r="1023">
      <c r="A1023" s="1"/>
      <c r="B1023" s="1"/>
      <c r="C1023" s="75"/>
      <c r="D1023" s="1"/>
      <c r="E1023" s="1"/>
      <c r="F1023" s="1"/>
      <c r="G1023" s="1"/>
      <c r="H1023" s="1"/>
      <c r="I1023" s="76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</row>
    <row r="1024">
      <c r="A1024" s="1"/>
      <c r="B1024" s="1"/>
      <c r="C1024" s="75"/>
      <c r="D1024" s="1"/>
      <c r="E1024" s="1"/>
      <c r="F1024" s="1"/>
      <c r="G1024" s="1"/>
      <c r="H1024" s="1"/>
      <c r="I1024" s="76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</row>
    <row r="1025">
      <c r="A1025" s="1"/>
      <c r="B1025" s="1"/>
      <c r="C1025" s="75"/>
      <c r="D1025" s="1"/>
      <c r="E1025" s="1"/>
      <c r="F1025" s="1"/>
      <c r="G1025" s="1"/>
      <c r="H1025" s="1"/>
      <c r="I1025" s="76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</row>
    <row r="1026">
      <c r="A1026" s="1"/>
      <c r="B1026" s="1"/>
      <c r="C1026" s="75"/>
      <c r="D1026" s="1"/>
      <c r="E1026" s="1"/>
      <c r="F1026" s="1"/>
      <c r="G1026" s="1"/>
      <c r="H1026" s="1"/>
      <c r="I1026" s="76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</row>
    <row r="1027">
      <c r="A1027" s="1"/>
      <c r="B1027" s="1"/>
      <c r="C1027" s="75"/>
      <c r="D1027" s="1"/>
      <c r="E1027" s="1"/>
      <c r="F1027" s="1"/>
      <c r="G1027" s="1"/>
      <c r="H1027" s="1"/>
      <c r="I1027" s="76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</row>
    <row r="1028">
      <c r="A1028" s="1"/>
      <c r="B1028" s="1"/>
      <c r="C1028" s="75"/>
      <c r="D1028" s="1"/>
      <c r="E1028" s="1"/>
      <c r="F1028" s="1"/>
      <c r="G1028" s="1"/>
      <c r="H1028" s="1"/>
      <c r="I1028" s="76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</row>
    <row r="1029">
      <c r="A1029" s="1"/>
      <c r="B1029" s="1"/>
      <c r="C1029" s="75"/>
      <c r="D1029" s="1"/>
      <c r="E1029" s="1"/>
      <c r="F1029" s="1"/>
      <c r="G1029" s="1"/>
      <c r="H1029" s="1"/>
      <c r="I1029" s="76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</row>
    <row r="1030">
      <c r="A1030" s="1"/>
      <c r="B1030" s="1"/>
      <c r="C1030" s="75"/>
      <c r="D1030" s="1"/>
      <c r="E1030" s="1"/>
      <c r="F1030" s="1"/>
      <c r="G1030" s="1"/>
      <c r="H1030" s="1"/>
      <c r="I1030" s="76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</row>
    <row r="1031">
      <c r="A1031" s="1"/>
      <c r="B1031" s="1"/>
      <c r="C1031" s="75"/>
      <c r="D1031" s="1"/>
      <c r="E1031" s="1"/>
      <c r="F1031" s="1"/>
      <c r="G1031" s="1"/>
      <c r="H1031" s="1"/>
      <c r="I1031" s="76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</row>
    <row r="1032">
      <c r="A1032" s="1"/>
      <c r="B1032" s="1"/>
      <c r="C1032" s="75"/>
      <c r="D1032" s="1"/>
      <c r="E1032" s="75"/>
      <c r="F1032" s="75"/>
      <c r="G1032" s="1"/>
      <c r="H1032" s="1"/>
      <c r="I1032" s="76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</row>
    <row r="1033">
      <c r="A1033" s="1"/>
      <c r="B1033" s="1"/>
      <c r="C1033" s="75"/>
      <c r="D1033" s="1"/>
      <c r="E1033" s="75"/>
      <c r="F1033" s="75"/>
      <c r="G1033" s="1"/>
      <c r="H1033" s="1"/>
      <c r="I1033" s="76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</row>
    <row r="1034">
      <c r="A1034" s="1"/>
      <c r="B1034" s="1"/>
      <c r="C1034" s="75"/>
      <c r="D1034" s="1"/>
      <c r="E1034" s="75"/>
      <c r="F1034" s="75"/>
      <c r="G1034" s="1"/>
      <c r="H1034" s="1"/>
      <c r="I1034" s="76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</row>
    <row r="1035">
      <c r="A1035" s="1"/>
      <c r="B1035" s="1"/>
      <c r="C1035" s="75"/>
      <c r="D1035" s="1"/>
      <c r="E1035" s="75"/>
      <c r="F1035" s="75"/>
      <c r="G1035" s="1"/>
      <c r="H1035" s="1"/>
      <c r="I1035" s="76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75"/>
      <c r="AE1035" s="1"/>
      <c r="AF1035" s="1"/>
      <c r="AG1035" s="1"/>
    </row>
    <row r="1036">
      <c r="A1036" s="1"/>
      <c r="B1036" s="1"/>
      <c r="C1036" s="75"/>
      <c r="D1036" s="1"/>
      <c r="E1036" s="75"/>
      <c r="F1036" s="75"/>
      <c r="G1036" s="1"/>
      <c r="H1036" s="1"/>
      <c r="I1036" s="76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75"/>
      <c r="AE1036" s="1"/>
      <c r="AF1036" s="1"/>
      <c r="AG1036" s="1"/>
    </row>
    <row r="1037">
      <c r="A1037" s="1"/>
      <c r="B1037" s="1"/>
      <c r="C1037" s="75"/>
      <c r="D1037" s="1"/>
      <c r="E1037" s="75"/>
      <c r="F1037" s="75"/>
      <c r="G1037" s="1"/>
      <c r="H1037" s="1"/>
      <c r="I1037" s="76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75"/>
      <c r="AE1037" s="1"/>
      <c r="AF1037" s="1"/>
      <c r="AG1037" s="1"/>
    </row>
    <row r="1038">
      <c r="A1038" s="1"/>
      <c r="B1038" s="1"/>
      <c r="C1038" s="75"/>
      <c r="D1038" s="1"/>
      <c r="E1038" s="75"/>
      <c r="F1038" s="75"/>
      <c r="G1038" s="1"/>
      <c r="H1038" s="1"/>
      <c r="I1038" s="76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75"/>
      <c r="AE1038" s="1"/>
      <c r="AF1038" s="1"/>
      <c r="AG1038" s="1"/>
    </row>
    <row r="1039">
      <c r="A1039" s="1"/>
      <c r="B1039" s="1"/>
      <c r="C1039" s="75"/>
      <c r="D1039" s="1"/>
      <c r="E1039" s="75"/>
      <c r="F1039" s="75"/>
      <c r="G1039" s="1"/>
      <c r="H1039" s="1"/>
      <c r="I1039" s="76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75"/>
      <c r="AE1039" s="1"/>
      <c r="AF1039" s="1"/>
      <c r="AG1039" s="1"/>
    </row>
    <row r="1040">
      <c r="A1040" s="1"/>
      <c r="B1040" s="1"/>
      <c r="C1040" s="75"/>
      <c r="D1040" s="1"/>
      <c r="E1040" s="75"/>
      <c r="F1040" s="75"/>
      <c r="G1040" s="1"/>
      <c r="H1040" s="1"/>
      <c r="I1040" s="76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75"/>
      <c r="AE1040" s="1"/>
      <c r="AF1040" s="1"/>
      <c r="AG1040" s="1"/>
    </row>
    <row r="1041">
      <c r="A1041" s="1"/>
      <c r="B1041" s="1"/>
      <c r="C1041" s="75"/>
      <c r="D1041" s="75"/>
      <c r="E1041" s="75"/>
      <c r="F1041" s="75"/>
      <c r="G1041" s="1"/>
      <c r="H1041" s="1"/>
      <c r="I1041" s="76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75"/>
      <c r="AE1041" s="1"/>
      <c r="AF1041" s="1"/>
      <c r="AG1041" s="1"/>
    </row>
    <row r="1042">
      <c r="A1042" s="1"/>
      <c r="B1042" s="1"/>
      <c r="C1042" s="75"/>
      <c r="D1042" s="75"/>
      <c r="E1042" s="75"/>
      <c r="F1042" s="75"/>
      <c r="G1042" s="1"/>
      <c r="H1042" s="1"/>
      <c r="I1042" s="76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75"/>
      <c r="AE1042" s="1"/>
      <c r="AF1042" s="1"/>
      <c r="AG1042" s="1"/>
    </row>
    <row r="1043">
      <c r="A1043" s="1"/>
      <c r="B1043" s="1"/>
      <c r="C1043" s="75"/>
      <c r="D1043" s="75"/>
      <c r="E1043" s="75"/>
      <c r="F1043" s="75"/>
      <c r="G1043" s="1"/>
      <c r="H1043" s="1"/>
      <c r="I1043" s="76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75"/>
      <c r="AE1043" s="1"/>
      <c r="AF1043" s="1"/>
      <c r="AG1043" s="1"/>
    </row>
    <row r="1044">
      <c r="A1044" s="1"/>
      <c r="B1044" s="1"/>
      <c r="C1044" s="75"/>
      <c r="D1044" s="75"/>
      <c r="E1044" s="75"/>
      <c r="F1044" s="75"/>
      <c r="G1044" s="75"/>
      <c r="H1044" s="1"/>
      <c r="I1044" s="76"/>
      <c r="J1044" s="1"/>
      <c r="K1044" s="1"/>
      <c r="L1044" s="75"/>
      <c r="M1044" s="1"/>
      <c r="N1044" s="1"/>
      <c r="O1044" s="1"/>
      <c r="P1044" s="1"/>
      <c r="Q1044" s="1"/>
      <c r="R1044" s="1"/>
      <c r="S1044" s="1"/>
      <c r="T1044" s="75"/>
      <c r="U1044" s="1"/>
      <c r="V1044" s="1"/>
      <c r="W1044" s="1"/>
      <c r="X1044" s="1"/>
      <c r="Y1044" s="1"/>
      <c r="Z1044" s="1"/>
      <c r="AA1044" s="1"/>
      <c r="AB1044" s="1"/>
      <c r="AC1044" s="75"/>
      <c r="AD1044" s="75"/>
      <c r="AE1044" s="1"/>
      <c r="AF1044" s="1"/>
      <c r="AG1044" s="1"/>
    </row>
    <row r="1045">
      <c r="A1045" s="1"/>
      <c r="B1045" s="1"/>
      <c r="C1045" s="75"/>
      <c r="D1045" s="75"/>
      <c r="E1045" s="75"/>
      <c r="F1045" s="75"/>
      <c r="G1045" s="75"/>
      <c r="H1045" s="1"/>
      <c r="I1045" s="76"/>
      <c r="J1045" s="1"/>
      <c r="K1045" s="1"/>
      <c r="L1045" s="75"/>
      <c r="M1045" s="1"/>
      <c r="N1045" s="1"/>
      <c r="O1045" s="1"/>
      <c r="P1045" s="1"/>
      <c r="Q1045" s="1"/>
      <c r="R1045" s="1"/>
      <c r="S1045" s="1"/>
      <c r="T1045" s="75"/>
      <c r="U1045" s="1"/>
      <c r="V1045" s="1"/>
      <c r="W1045" s="1"/>
      <c r="X1045" s="1"/>
      <c r="Y1045" s="1"/>
      <c r="Z1045" s="1"/>
      <c r="AA1045" s="1"/>
      <c r="AB1045" s="1"/>
      <c r="AC1045" s="75"/>
      <c r="AD1045" s="75"/>
      <c r="AE1045" s="1"/>
      <c r="AF1045" s="1"/>
      <c r="AG1045" s="1"/>
    </row>
    <row r="1046">
      <c r="A1046" s="1"/>
      <c r="B1046" s="1"/>
      <c r="C1046" s="75"/>
      <c r="D1046" s="75"/>
      <c r="E1046" s="75"/>
      <c r="F1046" s="75"/>
      <c r="G1046" s="75"/>
      <c r="H1046" s="1"/>
      <c r="I1046" s="76"/>
      <c r="J1046" s="1"/>
      <c r="K1046" s="1"/>
      <c r="L1046" s="75"/>
      <c r="M1046" s="1"/>
      <c r="N1046" s="1"/>
      <c r="O1046" s="1"/>
      <c r="P1046" s="1"/>
      <c r="Q1046" s="1"/>
      <c r="R1046" s="1"/>
      <c r="S1046" s="1"/>
      <c r="T1046" s="75"/>
      <c r="U1046" s="1"/>
      <c r="V1046" s="1"/>
      <c r="W1046" s="1"/>
      <c r="X1046" s="1"/>
      <c r="Y1046" s="1"/>
      <c r="Z1046" s="1"/>
      <c r="AA1046" s="1"/>
      <c r="AB1046" s="1"/>
      <c r="AC1046" s="75"/>
      <c r="AD1046" s="75"/>
      <c r="AE1046" s="1"/>
      <c r="AF1046" s="1"/>
      <c r="AG1046" s="1"/>
    </row>
    <row r="1047">
      <c r="A1047" s="1"/>
      <c r="B1047" s="1"/>
      <c r="C1047" s="75"/>
      <c r="D1047" s="75"/>
      <c r="E1047" s="75"/>
      <c r="F1047" s="75"/>
      <c r="G1047" s="75"/>
      <c r="H1047" s="1"/>
      <c r="I1047" s="76"/>
      <c r="J1047" s="1"/>
      <c r="K1047" s="1"/>
      <c r="L1047" s="75"/>
      <c r="M1047" s="1"/>
      <c r="N1047" s="1"/>
      <c r="O1047" s="1"/>
      <c r="P1047" s="1"/>
      <c r="Q1047" s="1"/>
      <c r="R1047" s="1"/>
      <c r="S1047" s="1"/>
      <c r="T1047" s="75"/>
      <c r="U1047" s="1"/>
      <c r="V1047" s="1"/>
      <c r="W1047" s="1"/>
      <c r="X1047" s="1"/>
      <c r="Y1047" s="1"/>
      <c r="Z1047" s="1"/>
      <c r="AA1047" s="1"/>
      <c r="AB1047" s="1"/>
      <c r="AC1047" s="75"/>
      <c r="AD1047" s="75"/>
      <c r="AE1047" s="1"/>
      <c r="AF1047" s="1"/>
      <c r="AG1047" s="1"/>
    </row>
    <row r="1048">
      <c r="A1048" s="1"/>
      <c r="B1048" s="1"/>
      <c r="C1048" s="75"/>
      <c r="D1048" s="75"/>
      <c r="E1048" s="75"/>
      <c r="F1048" s="75"/>
      <c r="G1048" s="75"/>
      <c r="H1048" s="1"/>
      <c r="I1048" s="76"/>
      <c r="J1048" s="1"/>
      <c r="K1048" s="1"/>
      <c r="L1048" s="75"/>
      <c r="M1048" s="1"/>
      <c r="N1048" s="1"/>
      <c r="O1048" s="1"/>
      <c r="P1048" s="1"/>
      <c r="Q1048" s="1"/>
      <c r="R1048" s="1"/>
      <c r="S1048" s="1"/>
      <c r="T1048" s="75"/>
      <c r="U1048" s="1"/>
      <c r="V1048" s="1"/>
      <c r="W1048" s="1"/>
      <c r="X1048" s="1"/>
      <c r="Y1048" s="1"/>
      <c r="Z1048" s="1"/>
      <c r="AA1048" s="1"/>
      <c r="AB1048" s="1"/>
      <c r="AC1048" s="75"/>
      <c r="AD1048" s="75"/>
      <c r="AE1048" s="1"/>
      <c r="AF1048" s="1"/>
      <c r="AG1048" s="1"/>
    </row>
    <row r="1049">
      <c r="A1049" s="1"/>
      <c r="B1049" s="1"/>
      <c r="C1049" s="75"/>
      <c r="D1049" s="75"/>
      <c r="E1049" s="75"/>
      <c r="F1049" s="75"/>
      <c r="G1049" s="75"/>
      <c r="H1049" s="1"/>
      <c r="I1049" s="76"/>
      <c r="J1049" s="1"/>
      <c r="K1049" s="1"/>
      <c r="L1049" s="75"/>
      <c r="M1049" s="1"/>
      <c r="N1049" s="1"/>
      <c r="O1049" s="1"/>
      <c r="P1049" s="1"/>
      <c r="Q1049" s="1"/>
      <c r="R1049" s="1"/>
      <c r="S1049" s="1"/>
      <c r="T1049" s="75"/>
      <c r="U1049" s="1"/>
      <c r="V1049" s="1"/>
      <c r="W1049" s="1"/>
      <c r="X1049" s="1"/>
      <c r="Y1049" s="1"/>
      <c r="Z1049" s="1"/>
      <c r="AA1049" s="1"/>
      <c r="AB1049" s="1"/>
      <c r="AC1049" s="75"/>
      <c r="AD1049" s="75"/>
      <c r="AE1049" s="1"/>
      <c r="AF1049" s="1"/>
      <c r="AG1049" s="1"/>
    </row>
    <row r="1050">
      <c r="A1050" s="1"/>
      <c r="B1050" s="1"/>
      <c r="C1050" s="75"/>
      <c r="D1050" s="75"/>
      <c r="E1050" s="75"/>
      <c r="F1050" s="75"/>
      <c r="G1050" s="75"/>
      <c r="H1050" s="1"/>
      <c r="I1050" s="76"/>
      <c r="J1050" s="1"/>
      <c r="K1050" s="1"/>
      <c r="L1050" s="75"/>
      <c r="M1050" s="1"/>
      <c r="N1050" s="1"/>
      <c r="O1050" s="1"/>
      <c r="P1050" s="1"/>
      <c r="Q1050" s="1"/>
      <c r="R1050" s="1"/>
      <c r="S1050" s="1"/>
      <c r="T1050" s="75"/>
      <c r="U1050" s="1"/>
      <c r="V1050" s="1"/>
      <c r="W1050" s="1"/>
      <c r="X1050" s="1"/>
      <c r="Y1050" s="1"/>
      <c r="Z1050" s="75"/>
      <c r="AA1050" s="1"/>
      <c r="AB1050" s="1"/>
      <c r="AC1050" s="75"/>
      <c r="AD1050" s="75"/>
      <c r="AE1050" s="1"/>
      <c r="AF1050" s="1"/>
      <c r="AG1050" s="1"/>
    </row>
    <row r="1051">
      <c r="A1051" s="1"/>
      <c r="B1051" s="1"/>
      <c r="C1051" s="75"/>
      <c r="D1051" s="75"/>
      <c r="E1051" s="75"/>
      <c r="F1051" s="75"/>
      <c r="G1051" s="75"/>
      <c r="H1051" s="1"/>
      <c r="I1051" s="76"/>
      <c r="J1051" s="1"/>
      <c r="K1051" s="1"/>
      <c r="L1051" s="75"/>
      <c r="M1051" s="1"/>
      <c r="N1051" s="1"/>
      <c r="O1051" s="1"/>
      <c r="P1051" s="1"/>
      <c r="Q1051" s="1"/>
      <c r="R1051" s="1"/>
      <c r="S1051" s="1"/>
      <c r="T1051" s="75"/>
      <c r="U1051" s="1"/>
      <c r="V1051" s="1"/>
      <c r="W1051" s="1"/>
      <c r="X1051" s="1"/>
      <c r="Y1051" s="1"/>
      <c r="Z1051" s="75"/>
      <c r="AA1051" s="1"/>
      <c r="AB1051" s="1"/>
      <c r="AC1051" s="75"/>
      <c r="AD1051" s="75"/>
      <c r="AE1051" s="1"/>
      <c r="AF1051" s="1"/>
      <c r="AG1051" s="1"/>
    </row>
    <row r="1052">
      <c r="A1052" s="1"/>
      <c r="B1052" s="1"/>
      <c r="C1052" s="75"/>
      <c r="D1052" s="75"/>
      <c r="E1052" s="75"/>
      <c r="F1052" s="75"/>
      <c r="G1052" s="75"/>
      <c r="H1052" s="1"/>
      <c r="I1052" s="76"/>
      <c r="J1052" s="1"/>
      <c r="K1052" s="1"/>
      <c r="L1052" s="75"/>
      <c r="M1052" s="1"/>
      <c r="N1052" s="1"/>
      <c r="O1052" s="1"/>
      <c r="P1052" s="1"/>
      <c r="Q1052" s="1"/>
      <c r="R1052" s="1"/>
      <c r="S1052" s="1"/>
      <c r="T1052" s="75"/>
      <c r="U1052" s="1"/>
      <c r="V1052" s="1"/>
      <c r="W1052" s="1"/>
      <c r="X1052" s="1"/>
      <c r="Y1052" s="1"/>
      <c r="Z1052" s="75"/>
      <c r="AA1052" s="1"/>
      <c r="AB1052" s="1"/>
      <c r="AC1052" s="75"/>
      <c r="AD1052" s="75"/>
      <c r="AE1052" s="1"/>
      <c r="AF1052" s="1"/>
      <c r="AG1052" s="1"/>
    </row>
    <row r="1053">
      <c r="A1053" s="1"/>
      <c r="B1053" s="1"/>
      <c r="C1053" s="75"/>
      <c r="D1053" s="75"/>
      <c r="E1053" s="75"/>
      <c r="F1053" s="75"/>
      <c r="G1053" s="75"/>
      <c r="H1053" s="1"/>
      <c r="I1053" s="76"/>
      <c r="J1053" s="1"/>
      <c r="K1053" s="1"/>
      <c r="L1053" s="75"/>
      <c r="M1053" s="1"/>
      <c r="N1053" s="1"/>
      <c r="O1053" s="1"/>
      <c r="P1053" s="1"/>
      <c r="Q1053" s="1"/>
      <c r="R1053" s="1"/>
      <c r="S1053" s="1"/>
      <c r="T1053" s="75"/>
      <c r="U1053" s="1"/>
      <c r="V1053" s="1"/>
      <c r="W1053" s="1"/>
      <c r="X1053" s="1"/>
      <c r="Y1053" s="1"/>
      <c r="Z1053" s="75"/>
      <c r="AA1053" s="1"/>
      <c r="AB1053" s="1"/>
      <c r="AC1053" s="75"/>
      <c r="AD1053" s="75"/>
      <c r="AE1053" s="1"/>
      <c r="AF1053" s="1"/>
      <c r="AG1053" s="1"/>
    </row>
    <row r="1054">
      <c r="A1054" s="1"/>
      <c r="B1054" s="1"/>
      <c r="C1054" s="75"/>
      <c r="D1054" s="75"/>
      <c r="E1054" s="75"/>
      <c r="F1054" s="75"/>
      <c r="G1054" s="75"/>
      <c r="H1054" s="1"/>
      <c r="I1054" s="76"/>
      <c r="J1054" s="1"/>
      <c r="K1054" s="1"/>
      <c r="L1054" s="75"/>
      <c r="M1054" s="1"/>
      <c r="N1054" s="1"/>
      <c r="O1054" s="1"/>
      <c r="P1054" s="1"/>
      <c r="Q1054" s="1"/>
      <c r="R1054" s="1"/>
      <c r="S1054" s="1"/>
      <c r="T1054" s="75"/>
      <c r="U1054" s="1"/>
      <c r="V1054" s="1"/>
      <c r="W1054" s="1"/>
      <c r="X1054" s="1"/>
      <c r="Y1054" s="1"/>
      <c r="Z1054" s="75"/>
      <c r="AA1054" s="1"/>
      <c r="AB1054" s="1"/>
      <c r="AC1054" s="75"/>
      <c r="AD1054" s="75"/>
      <c r="AE1054" s="1"/>
      <c r="AF1054" s="1"/>
      <c r="AG1054" s="1"/>
    </row>
    <row r="1055">
      <c r="A1055" s="1"/>
      <c r="B1055" s="1"/>
      <c r="C1055" s="75"/>
      <c r="D1055" s="75"/>
      <c r="E1055" s="75"/>
      <c r="F1055" s="75"/>
      <c r="G1055" s="75"/>
      <c r="H1055" s="1"/>
      <c r="I1055" s="76"/>
      <c r="J1055" s="1"/>
      <c r="K1055" s="1"/>
      <c r="L1055" s="75"/>
      <c r="M1055" s="1"/>
      <c r="N1055" s="1"/>
      <c r="O1055" s="1"/>
      <c r="P1055" s="1"/>
      <c r="Q1055" s="1"/>
      <c r="R1055" s="1"/>
      <c r="S1055" s="1"/>
      <c r="T1055" s="75"/>
      <c r="U1055" s="1"/>
      <c r="V1055" s="1"/>
      <c r="W1055" s="1"/>
      <c r="X1055" s="1"/>
      <c r="Y1055" s="1"/>
      <c r="Z1055" s="75"/>
      <c r="AA1055" s="1"/>
      <c r="AB1055" s="1"/>
      <c r="AC1055" s="75"/>
      <c r="AD1055" s="75"/>
      <c r="AE1055" s="1"/>
      <c r="AF1055" s="1"/>
      <c r="AG1055" s="1"/>
    </row>
    <row r="1056">
      <c r="A1056" s="1"/>
      <c r="B1056" s="1"/>
      <c r="C1056" s="75"/>
      <c r="D1056" s="75"/>
      <c r="E1056" s="75"/>
      <c r="F1056" s="75"/>
      <c r="G1056" s="75"/>
      <c r="H1056" s="1"/>
      <c r="I1056" s="76"/>
      <c r="J1056" s="1"/>
      <c r="K1056" s="1"/>
      <c r="L1056" s="75"/>
      <c r="M1056" s="1"/>
      <c r="N1056" s="1"/>
      <c r="O1056" s="1"/>
      <c r="P1056" s="1"/>
      <c r="Q1056" s="1"/>
      <c r="R1056" s="1"/>
      <c r="S1056" s="1"/>
      <c r="T1056" s="75"/>
      <c r="U1056" s="1"/>
      <c r="V1056" s="1"/>
      <c r="W1056" s="1"/>
      <c r="X1056" s="1"/>
      <c r="Y1056" s="1"/>
      <c r="Z1056" s="75"/>
      <c r="AA1056" s="1"/>
      <c r="AB1056" s="1"/>
      <c r="AC1056" s="75"/>
      <c r="AD1056" s="75"/>
      <c r="AE1056" s="1"/>
      <c r="AF1056" s="1"/>
      <c r="AG1056" s="1"/>
    </row>
    <row r="1057">
      <c r="A1057" s="1"/>
      <c r="B1057" s="1"/>
      <c r="C1057" s="75"/>
      <c r="D1057" s="75"/>
      <c r="E1057" s="75"/>
      <c r="F1057" s="75"/>
      <c r="G1057" s="75"/>
      <c r="H1057" s="1"/>
      <c r="I1057" s="76"/>
      <c r="J1057" s="1"/>
      <c r="K1057" s="1"/>
      <c r="L1057" s="75"/>
      <c r="M1057" s="1"/>
      <c r="N1057" s="1"/>
      <c r="O1057" s="1"/>
      <c r="P1057" s="1"/>
      <c r="Q1057" s="1"/>
      <c r="R1057" s="1"/>
      <c r="S1057" s="1"/>
      <c r="T1057" s="75"/>
      <c r="U1057" s="1"/>
      <c r="V1057" s="1"/>
      <c r="W1057" s="1"/>
      <c r="X1057" s="1"/>
      <c r="Y1057" s="1"/>
      <c r="Z1057" s="75"/>
      <c r="AA1057" s="1"/>
      <c r="AB1057" s="1"/>
      <c r="AC1057" s="75"/>
      <c r="AD1057" s="75"/>
      <c r="AE1057" s="1"/>
      <c r="AF1057" s="1"/>
      <c r="AG1057" s="1"/>
    </row>
    <row r="1058">
      <c r="A1058" s="1"/>
      <c r="B1058" s="1"/>
      <c r="C1058" s="75"/>
      <c r="D1058" s="75"/>
      <c r="E1058" s="75"/>
      <c r="F1058" s="75"/>
      <c r="G1058" s="75"/>
      <c r="H1058" s="1"/>
      <c r="I1058" s="76"/>
      <c r="J1058" s="1"/>
      <c r="K1058" s="1"/>
      <c r="L1058" s="75"/>
      <c r="M1058" s="1"/>
      <c r="N1058" s="1"/>
      <c r="O1058" s="1"/>
      <c r="P1058" s="1"/>
      <c r="Q1058" s="1"/>
      <c r="R1058" s="1"/>
      <c r="S1058" s="1"/>
      <c r="T1058" s="75"/>
      <c r="U1058" s="1"/>
      <c r="V1058" s="1"/>
      <c r="W1058" s="1"/>
      <c r="X1058" s="1"/>
      <c r="Y1058" s="1"/>
      <c r="Z1058" s="75"/>
      <c r="AA1058" s="1"/>
      <c r="AB1058" s="1"/>
      <c r="AC1058" s="75"/>
      <c r="AD1058" s="75"/>
      <c r="AE1058" s="1"/>
      <c r="AF1058" s="1"/>
      <c r="AG1058" s="1"/>
    </row>
    <row r="1059">
      <c r="A1059" s="1"/>
      <c r="B1059" s="1"/>
      <c r="C1059" s="75"/>
      <c r="D1059" s="75"/>
      <c r="E1059" s="75"/>
      <c r="F1059" s="75"/>
      <c r="G1059" s="75"/>
      <c r="H1059" s="1"/>
      <c r="I1059" s="76"/>
      <c r="J1059" s="1"/>
      <c r="K1059" s="1"/>
      <c r="L1059" s="75"/>
      <c r="M1059" s="1"/>
      <c r="N1059" s="1"/>
      <c r="O1059" s="1"/>
      <c r="P1059" s="1"/>
      <c r="Q1059" s="1"/>
      <c r="R1059" s="1"/>
      <c r="S1059" s="1"/>
      <c r="T1059" s="75"/>
      <c r="U1059" s="1"/>
      <c r="V1059" s="1"/>
      <c r="W1059" s="1"/>
      <c r="X1059" s="1"/>
      <c r="Y1059" s="1"/>
      <c r="Z1059" s="75"/>
      <c r="AA1059" s="1"/>
      <c r="AB1059" s="1"/>
      <c r="AC1059" s="75"/>
      <c r="AD1059" s="75"/>
      <c r="AE1059" s="1"/>
      <c r="AF1059" s="1"/>
      <c r="AG1059" s="1"/>
    </row>
    <row r="1060">
      <c r="A1060" s="1"/>
      <c r="B1060" s="1"/>
      <c r="C1060" s="75"/>
      <c r="D1060" s="75"/>
      <c r="E1060" s="75"/>
      <c r="F1060" s="75"/>
      <c r="G1060" s="75"/>
      <c r="H1060" s="1"/>
      <c r="I1060" s="76"/>
      <c r="J1060" s="1"/>
      <c r="K1060" s="1"/>
      <c r="L1060" s="75"/>
      <c r="M1060" s="1"/>
      <c r="N1060" s="1"/>
      <c r="O1060" s="1"/>
      <c r="P1060" s="1"/>
      <c r="Q1060" s="1"/>
      <c r="R1060" s="1"/>
      <c r="S1060" s="1"/>
      <c r="T1060" s="75"/>
      <c r="U1060" s="1"/>
      <c r="V1060" s="1"/>
      <c r="W1060" s="1"/>
      <c r="X1060" s="1"/>
      <c r="Y1060" s="1"/>
      <c r="Z1060" s="75"/>
      <c r="AA1060" s="1"/>
      <c r="AB1060" s="1"/>
      <c r="AC1060" s="75"/>
      <c r="AD1060" s="75"/>
      <c r="AE1060" s="1"/>
      <c r="AF1060" s="1"/>
      <c r="AG1060" s="1"/>
    </row>
    <row r="1061">
      <c r="A1061" s="1"/>
      <c r="B1061" s="1"/>
      <c r="C1061" s="75"/>
      <c r="D1061" s="75"/>
      <c r="E1061" s="75"/>
      <c r="F1061" s="75"/>
      <c r="G1061" s="75"/>
      <c r="H1061" s="1"/>
      <c r="I1061" s="76"/>
      <c r="J1061" s="1"/>
      <c r="K1061" s="1"/>
      <c r="L1061" s="75"/>
      <c r="M1061" s="1"/>
      <c r="N1061" s="1"/>
      <c r="O1061" s="1"/>
      <c r="P1061" s="1"/>
      <c r="Q1061" s="1"/>
      <c r="R1061" s="1"/>
      <c r="S1061" s="1"/>
      <c r="T1061" s="75"/>
      <c r="U1061" s="1"/>
      <c r="V1061" s="1"/>
      <c r="W1061" s="1"/>
      <c r="X1061" s="1"/>
      <c r="Y1061" s="1"/>
      <c r="Z1061" s="75"/>
      <c r="AA1061" s="1"/>
      <c r="AB1061" s="1"/>
      <c r="AC1061" s="75"/>
      <c r="AD1061" s="75"/>
      <c r="AE1061" s="1"/>
      <c r="AF1061" s="1"/>
      <c r="AG1061" s="1"/>
    </row>
    <row r="1062">
      <c r="A1062" s="1"/>
      <c r="B1062" s="1"/>
      <c r="C1062" s="75"/>
      <c r="D1062" s="75"/>
      <c r="E1062" s="75"/>
      <c r="F1062" s="75"/>
      <c r="G1062" s="75"/>
      <c r="H1062" s="1"/>
      <c r="I1062" s="76"/>
      <c r="J1062" s="1"/>
      <c r="K1062" s="1"/>
      <c r="L1062" s="75"/>
      <c r="M1062" s="1"/>
      <c r="N1062" s="1"/>
      <c r="O1062" s="1"/>
      <c r="P1062" s="1"/>
      <c r="Q1062" s="1"/>
      <c r="R1062" s="1"/>
      <c r="S1062" s="1"/>
      <c r="T1062" s="75"/>
      <c r="U1062" s="1"/>
      <c r="V1062" s="1"/>
      <c r="W1062" s="1"/>
      <c r="X1062" s="1"/>
      <c r="Y1062" s="1"/>
      <c r="Z1062" s="75"/>
      <c r="AA1062" s="1"/>
      <c r="AB1062" s="1"/>
      <c r="AC1062" s="75"/>
      <c r="AD1062" s="75"/>
      <c r="AE1062" s="1"/>
      <c r="AF1062" s="1"/>
      <c r="AG1062" s="1"/>
    </row>
    <row r="1063">
      <c r="A1063" s="1"/>
      <c r="B1063" s="1"/>
      <c r="C1063" s="75"/>
      <c r="D1063" s="75"/>
      <c r="E1063" s="75"/>
      <c r="F1063" s="75"/>
      <c r="G1063" s="75"/>
      <c r="H1063" s="1"/>
      <c r="I1063" s="76"/>
      <c r="J1063" s="1"/>
      <c r="K1063" s="1"/>
      <c r="L1063" s="75"/>
      <c r="M1063" s="1"/>
      <c r="N1063" s="1"/>
      <c r="O1063" s="1"/>
      <c r="P1063" s="1"/>
      <c r="Q1063" s="1"/>
      <c r="R1063" s="1"/>
      <c r="S1063" s="1"/>
      <c r="T1063" s="75"/>
      <c r="U1063" s="1"/>
      <c r="V1063" s="1"/>
      <c r="W1063" s="1"/>
      <c r="X1063" s="1"/>
      <c r="Y1063" s="1"/>
      <c r="Z1063" s="75"/>
      <c r="AA1063" s="1"/>
      <c r="AB1063" s="1"/>
      <c r="AC1063" s="75"/>
      <c r="AD1063" s="75"/>
      <c r="AE1063" s="1"/>
      <c r="AF1063" s="1"/>
      <c r="AG1063" s="1"/>
    </row>
    <row r="1064">
      <c r="A1064" s="1"/>
      <c r="B1064" s="1"/>
      <c r="C1064" s="75"/>
      <c r="D1064" s="75"/>
      <c r="E1064" s="75"/>
      <c r="F1064" s="75"/>
      <c r="G1064" s="75"/>
      <c r="H1064" s="1"/>
      <c r="I1064" s="76"/>
      <c r="J1064" s="1"/>
      <c r="K1064" s="1"/>
      <c r="L1064" s="75"/>
      <c r="M1064" s="1"/>
      <c r="N1064" s="1"/>
      <c r="O1064" s="1"/>
      <c r="P1064" s="1"/>
      <c r="Q1064" s="1"/>
      <c r="R1064" s="1"/>
      <c r="S1064" s="1"/>
      <c r="T1064" s="75"/>
      <c r="U1064" s="1"/>
      <c r="V1064" s="1"/>
      <c r="W1064" s="1"/>
      <c r="X1064" s="1"/>
      <c r="Y1064" s="1"/>
      <c r="Z1064" s="75"/>
      <c r="AA1064" s="1"/>
      <c r="AB1064" s="1"/>
      <c r="AC1064" s="75"/>
      <c r="AD1064" s="75"/>
      <c r="AE1064" s="1"/>
      <c r="AF1064" s="1"/>
      <c r="AG1064" s="1"/>
    </row>
    <row r="1065">
      <c r="A1065" s="1"/>
      <c r="B1065" s="1"/>
      <c r="C1065" s="75"/>
      <c r="D1065" s="75"/>
      <c r="E1065" s="75"/>
      <c r="F1065" s="75"/>
      <c r="G1065" s="75"/>
      <c r="H1065" s="1"/>
      <c r="I1065" s="76"/>
      <c r="J1065" s="1"/>
      <c r="K1065" s="1"/>
      <c r="L1065" s="75"/>
      <c r="M1065" s="1"/>
      <c r="N1065" s="1"/>
      <c r="O1065" s="1"/>
      <c r="P1065" s="1"/>
      <c r="Q1065" s="1"/>
      <c r="R1065" s="1"/>
      <c r="S1065" s="1"/>
      <c r="T1065" s="75"/>
      <c r="U1065" s="1"/>
      <c r="V1065" s="1"/>
      <c r="W1065" s="1"/>
      <c r="X1065" s="1"/>
      <c r="Y1065" s="1"/>
      <c r="Z1065" s="75"/>
      <c r="AA1065" s="1"/>
      <c r="AB1065" s="1"/>
      <c r="AC1065" s="75"/>
      <c r="AD1065" s="75"/>
      <c r="AE1065" s="1"/>
      <c r="AF1065" s="1"/>
      <c r="AG1065" s="1"/>
    </row>
    <row r="1066">
      <c r="A1066" s="1"/>
      <c r="B1066" s="1"/>
      <c r="C1066" s="75"/>
      <c r="D1066" s="75"/>
      <c r="E1066" s="75"/>
      <c r="F1066" s="75"/>
      <c r="G1066" s="75"/>
      <c r="H1066" s="1"/>
      <c r="I1066" s="76"/>
      <c r="J1066" s="1"/>
      <c r="K1066" s="1"/>
      <c r="L1066" s="75"/>
      <c r="M1066" s="1"/>
      <c r="N1066" s="1"/>
      <c r="O1066" s="1"/>
      <c r="P1066" s="1"/>
      <c r="Q1066" s="1"/>
      <c r="R1066" s="1"/>
      <c r="S1066" s="1"/>
      <c r="T1066" s="75"/>
      <c r="U1066" s="1"/>
      <c r="V1066" s="1"/>
      <c r="W1066" s="1"/>
      <c r="X1066" s="1"/>
      <c r="Y1066" s="1"/>
      <c r="Z1066" s="75"/>
      <c r="AA1066" s="1"/>
      <c r="AB1066" s="1"/>
      <c r="AC1066" s="75"/>
      <c r="AD1066" s="75"/>
      <c r="AE1066" s="1"/>
      <c r="AF1066" s="1"/>
      <c r="AG1066" s="1"/>
    </row>
    <row r="1067">
      <c r="A1067" s="1"/>
      <c r="B1067" s="1"/>
      <c r="C1067" s="75"/>
      <c r="D1067" s="75"/>
      <c r="E1067" s="75"/>
      <c r="F1067" s="75"/>
      <c r="G1067" s="75"/>
      <c r="H1067" s="1"/>
      <c r="I1067" s="76"/>
      <c r="J1067" s="1"/>
      <c r="K1067" s="1"/>
      <c r="L1067" s="75"/>
      <c r="M1067" s="1"/>
      <c r="N1067" s="1"/>
      <c r="O1067" s="1"/>
      <c r="P1067" s="1"/>
      <c r="Q1067" s="1"/>
      <c r="R1067" s="1"/>
      <c r="S1067" s="1"/>
      <c r="T1067" s="75"/>
      <c r="U1067" s="1"/>
      <c r="V1067" s="1"/>
      <c r="W1067" s="1"/>
      <c r="X1067" s="1"/>
      <c r="Y1067" s="1"/>
      <c r="Z1067" s="75"/>
      <c r="AA1067" s="1"/>
      <c r="AB1067" s="1"/>
      <c r="AC1067" s="75"/>
      <c r="AD1067" s="75"/>
      <c r="AE1067" s="1"/>
      <c r="AF1067" s="1"/>
      <c r="AG1067" s="1"/>
    </row>
    <row r="1068">
      <c r="A1068" s="1"/>
      <c r="B1068" s="1"/>
      <c r="C1068" s="75"/>
      <c r="D1068" s="75"/>
      <c r="E1068" s="75"/>
      <c r="F1068" s="75"/>
      <c r="G1068" s="75"/>
      <c r="H1068" s="1"/>
      <c r="I1068" s="76"/>
      <c r="J1068" s="1"/>
      <c r="K1068" s="1"/>
      <c r="L1068" s="75"/>
      <c r="M1068" s="1"/>
      <c r="N1068" s="1"/>
      <c r="O1068" s="1"/>
      <c r="P1068" s="1"/>
      <c r="Q1068" s="1"/>
      <c r="R1068" s="1"/>
      <c r="S1068" s="1"/>
      <c r="T1068" s="75"/>
      <c r="U1068" s="1"/>
      <c r="V1068" s="1"/>
      <c r="W1068" s="1"/>
      <c r="X1068" s="1"/>
      <c r="Y1068" s="1"/>
      <c r="Z1068" s="75"/>
      <c r="AA1068" s="1"/>
      <c r="AB1068" s="1"/>
      <c r="AC1068" s="75"/>
      <c r="AD1068" s="75"/>
      <c r="AE1068" s="1"/>
      <c r="AF1068" s="1"/>
      <c r="AG1068" s="1"/>
    </row>
    <row r="1069">
      <c r="A1069" s="1"/>
      <c r="B1069" s="1"/>
      <c r="C1069" s="75"/>
      <c r="D1069" s="75"/>
      <c r="E1069" s="75"/>
      <c r="F1069" s="75"/>
      <c r="G1069" s="75"/>
      <c r="H1069" s="1"/>
      <c r="I1069" s="76"/>
      <c r="J1069" s="1"/>
      <c r="K1069" s="1"/>
      <c r="L1069" s="75"/>
      <c r="M1069" s="1"/>
      <c r="N1069" s="1"/>
      <c r="O1069" s="1"/>
      <c r="P1069" s="1"/>
      <c r="Q1069" s="1"/>
      <c r="R1069" s="1"/>
      <c r="S1069" s="1"/>
      <c r="T1069" s="75"/>
      <c r="U1069" s="1"/>
      <c r="V1069" s="1"/>
      <c r="W1069" s="1"/>
      <c r="X1069" s="1"/>
      <c r="Y1069" s="1"/>
      <c r="Z1069" s="75"/>
      <c r="AA1069" s="1"/>
      <c r="AB1069" s="1"/>
      <c r="AC1069" s="75"/>
      <c r="AD1069" s="75"/>
      <c r="AE1069" s="1"/>
      <c r="AF1069" s="1"/>
      <c r="AG1069" s="1"/>
    </row>
    <row r="1070">
      <c r="A1070" s="1"/>
      <c r="B1070" s="1"/>
      <c r="C1070" s="75"/>
      <c r="D1070" s="75"/>
      <c r="E1070" s="75"/>
      <c r="F1070" s="75"/>
      <c r="G1070" s="75"/>
      <c r="H1070" s="1"/>
      <c r="I1070" s="76"/>
      <c r="J1070" s="1"/>
      <c r="K1070" s="1"/>
      <c r="L1070" s="75"/>
      <c r="M1070" s="1"/>
      <c r="N1070" s="1"/>
      <c r="O1070" s="1"/>
      <c r="P1070" s="1"/>
      <c r="Q1070" s="1"/>
      <c r="R1070" s="1"/>
      <c r="S1070" s="1"/>
      <c r="T1070" s="75"/>
      <c r="U1070" s="1"/>
      <c r="V1070" s="1"/>
      <c r="W1070" s="1"/>
      <c r="X1070" s="1"/>
      <c r="Y1070" s="1"/>
      <c r="Z1070" s="75"/>
      <c r="AA1070" s="1"/>
      <c r="AB1070" s="1"/>
      <c r="AC1070" s="75"/>
      <c r="AD1070" s="75"/>
      <c r="AE1070" s="1"/>
      <c r="AF1070" s="1"/>
      <c r="AG1070" s="1"/>
    </row>
    <row r="1071">
      <c r="A1071" s="1"/>
      <c r="B1071" s="1"/>
      <c r="C1071" s="75"/>
      <c r="D1071" s="75"/>
      <c r="E1071" s="75"/>
      <c r="F1071" s="75"/>
      <c r="G1071" s="75"/>
      <c r="H1071" s="1"/>
      <c r="I1071" s="76"/>
      <c r="J1071" s="1"/>
      <c r="K1071" s="1"/>
      <c r="L1071" s="75"/>
      <c r="M1071" s="1"/>
      <c r="N1071" s="1"/>
      <c r="O1071" s="1"/>
      <c r="P1071" s="1"/>
      <c r="Q1071" s="1"/>
      <c r="R1071" s="1"/>
      <c r="S1071" s="1"/>
      <c r="T1071" s="75"/>
      <c r="U1071" s="1"/>
      <c r="V1071" s="1"/>
      <c r="W1071" s="1"/>
      <c r="X1071" s="1"/>
      <c r="Y1071" s="1"/>
      <c r="Z1071" s="75"/>
      <c r="AA1071" s="1"/>
      <c r="AB1071" s="1"/>
      <c r="AC1071" s="75"/>
      <c r="AD1071" s="75"/>
      <c r="AE1071" s="1"/>
      <c r="AF1071" s="1"/>
      <c r="AG1071" s="1"/>
    </row>
    <row r="1072">
      <c r="A1072" s="1"/>
      <c r="B1072" s="1"/>
      <c r="C1072" s="75"/>
      <c r="D1072" s="75"/>
      <c r="E1072" s="75"/>
      <c r="F1072" s="75"/>
      <c r="G1072" s="75"/>
      <c r="H1072" s="1"/>
      <c r="I1072" s="76"/>
      <c r="J1072" s="1"/>
      <c r="K1072" s="1"/>
      <c r="L1072" s="75"/>
      <c r="M1072" s="1"/>
      <c r="N1072" s="1"/>
      <c r="O1072" s="1"/>
      <c r="P1072" s="1"/>
      <c r="Q1072" s="1"/>
      <c r="R1072" s="1"/>
      <c r="S1072" s="1"/>
      <c r="T1072" s="75"/>
      <c r="U1072" s="1"/>
      <c r="V1072" s="1"/>
      <c r="W1072" s="1"/>
      <c r="X1072" s="1"/>
      <c r="Y1072" s="1"/>
      <c r="Z1072" s="75"/>
      <c r="AA1072" s="1"/>
      <c r="AB1072" s="1"/>
      <c r="AC1072" s="75"/>
      <c r="AD1072" s="75"/>
      <c r="AE1072" s="1"/>
      <c r="AF1072" s="1"/>
      <c r="AG1072" s="1"/>
    </row>
    <row r="1073">
      <c r="A1073" s="1"/>
      <c r="B1073" s="1"/>
      <c r="C1073" s="75"/>
      <c r="D1073" s="75"/>
      <c r="E1073" s="75"/>
      <c r="F1073" s="75"/>
      <c r="G1073" s="75"/>
      <c r="H1073" s="1"/>
      <c r="I1073" s="76"/>
      <c r="J1073" s="1"/>
      <c r="K1073" s="1"/>
      <c r="L1073" s="75"/>
      <c r="M1073" s="1"/>
      <c r="N1073" s="1"/>
      <c r="O1073" s="1"/>
      <c r="P1073" s="1"/>
      <c r="Q1073" s="1"/>
      <c r="R1073" s="1"/>
      <c r="S1073" s="1"/>
      <c r="T1073" s="75"/>
      <c r="U1073" s="1"/>
      <c r="V1073" s="1"/>
      <c r="W1073" s="1"/>
      <c r="X1073" s="1"/>
      <c r="Y1073" s="1"/>
      <c r="Z1073" s="75"/>
      <c r="AA1073" s="1"/>
      <c r="AB1073" s="1"/>
      <c r="AC1073" s="75"/>
      <c r="AD1073" s="75"/>
      <c r="AE1073" s="1"/>
      <c r="AF1073" s="1"/>
      <c r="AG1073" s="1"/>
    </row>
    <row r="1074">
      <c r="A1074" s="1"/>
      <c r="B1074" s="1"/>
      <c r="C1074" s="75"/>
      <c r="D1074" s="75"/>
      <c r="E1074" s="75"/>
      <c r="F1074" s="75"/>
      <c r="G1074" s="75"/>
      <c r="H1074" s="1"/>
      <c r="I1074" s="76"/>
      <c r="J1074" s="1"/>
      <c r="K1074" s="1"/>
      <c r="L1074" s="75"/>
      <c r="M1074" s="1"/>
      <c r="N1074" s="1"/>
      <c r="O1074" s="1"/>
      <c r="P1074" s="1"/>
      <c r="Q1074" s="1"/>
      <c r="R1074" s="1"/>
      <c r="S1074" s="1"/>
      <c r="T1074" s="75"/>
      <c r="U1074" s="1"/>
      <c r="V1074" s="1"/>
      <c r="W1074" s="1"/>
      <c r="X1074" s="1"/>
      <c r="Y1074" s="1"/>
      <c r="Z1074" s="75"/>
      <c r="AA1074" s="1"/>
      <c r="AB1074" s="1"/>
      <c r="AC1074" s="75"/>
      <c r="AD1074" s="75"/>
      <c r="AE1074" s="1"/>
      <c r="AF1074" s="1"/>
      <c r="AG1074" s="1"/>
    </row>
    <row r="1075">
      <c r="A1075" s="1"/>
      <c r="B1075" s="1"/>
      <c r="C1075" s="75"/>
      <c r="D1075" s="75"/>
      <c r="E1075" s="75"/>
      <c r="F1075" s="75"/>
      <c r="G1075" s="75"/>
      <c r="H1075" s="1"/>
      <c r="I1075" s="76"/>
      <c r="J1075" s="1"/>
      <c r="K1075" s="1"/>
      <c r="L1075" s="75"/>
      <c r="M1075" s="1"/>
      <c r="N1075" s="1"/>
      <c r="O1075" s="1"/>
      <c r="P1075" s="1"/>
      <c r="Q1075" s="1"/>
      <c r="R1075" s="1"/>
      <c r="S1075" s="1"/>
      <c r="T1075" s="75"/>
      <c r="U1075" s="1"/>
      <c r="V1075" s="1"/>
      <c r="W1075" s="1"/>
      <c r="X1075" s="1"/>
      <c r="Y1075" s="1"/>
      <c r="Z1075" s="75"/>
      <c r="AA1075" s="1"/>
      <c r="AB1075" s="1"/>
      <c r="AC1075" s="75"/>
      <c r="AD1075" s="75"/>
      <c r="AE1075" s="1"/>
      <c r="AF1075" s="1"/>
      <c r="AG1075" s="1"/>
    </row>
    <row r="1076">
      <c r="A1076" s="1"/>
      <c r="B1076" s="1"/>
      <c r="C1076" s="75"/>
      <c r="D1076" s="75"/>
      <c r="E1076" s="75"/>
      <c r="F1076" s="75"/>
      <c r="G1076" s="75"/>
      <c r="H1076" s="1"/>
      <c r="I1076" s="76"/>
      <c r="J1076" s="1"/>
      <c r="K1076" s="1"/>
      <c r="L1076" s="75"/>
      <c r="M1076" s="1"/>
      <c r="N1076" s="1"/>
      <c r="O1076" s="1"/>
      <c r="P1076" s="1"/>
      <c r="Q1076" s="1"/>
      <c r="R1076" s="1"/>
      <c r="S1076" s="1"/>
      <c r="T1076" s="75"/>
      <c r="U1076" s="1"/>
      <c r="V1076" s="1"/>
      <c r="W1076" s="1"/>
      <c r="X1076" s="1"/>
      <c r="Y1076" s="1"/>
      <c r="Z1076" s="75"/>
      <c r="AA1076" s="1"/>
      <c r="AB1076" s="1"/>
      <c r="AC1076" s="75"/>
      <c r="AD1076" s="75"/>
      <c r="AE1076" s="1"/>
      <c r="AF1076" s="1"/>
      <c r="AG1076" s="1"/>
    </row>
    <row r="1077">
      <c r="A1077" s="1"/>
      <c r="B1077" s="1"/>
      <c r="C1077" s="75"/>
      <c r="D1077" s="75"/>
      <c r="E1077" s="75"/>
      <c r="F1077" s="75"/>
      <c r="G1077" s="75"/>
      <c r="H1077" s="1"/>
      <c r="I1077" s="76"/>
      <c r="J1077" s="1"/>
      <c r="K1077" s="1"/>
      <c r="L1077" s="75"/>
      <c r="M1077" s="1"/>
      <c r="N1077" s="1"/>
      <c r="O1077" s="1"/>
      <c r="P1077" s="1"/>
      <c r="Q1077" s="1"/>
      <c r="R1077" s="1"/>
      <c r="S1077" s="1"/>
      <c r="T1077" s="75"/>
      <c r="U1077" s="1"/>
      <c r="V1077" s="1"/>
      <c r="W1077" s="1"/>
      <c r="X1077" s="1"/>
      <c r="Y1077" s="1"/>
      <c r="Z1077" s="75"/>
      <c r="AA1077" s="1"/>
      <c r="AB1077" s="1"/>
      <c r="AC1077" s="75"/>
      <c r="AD1077" s="75"/>
      <c r="AE1077" s="1"/>
      <c r="AF1077" s="1"/>
      <c r="AG1077" s="1"/>
    </row>
    <row r="1078">
      <c r="A1078" s="1"/>
      <c r="B1078" s="1"/>
      <c r="C1078" s="75"/>
      <c r="D1078" s="75"/>
      <c r="E1078" s="75"/>
      <c r="F1078" s="75"/>
      <c r="G1078" s="75"/>
      <c r="H1078" s="1"/>
      <c r="I1078" s="76"/>
      <c r="J1078" s="1"/>
      <c r="K1078" s="1"/>
      <c r="L1078" s="75"/>
      <c r="M1078" s="1"/>
      <c r="N1078" s="1"/>
      <c r="O1078" s="1"/>
      <c r="P1078" s="1"/>
      <c r="Q1078" s="1"/>
      <c r="R1078" s="1"/>
      <c r="S1078" s="1"/>
      <c r="T1078" s="75"/>
      <c r="U1078" s="1"/>
      <c r="V1078" s="1"/>
      <c r="W1078" s="1"/>
      <c r="X1078" s="1"/>
      <c r="Y1078" s="1"/>
      <c r="Z1078" s="75"/>
      <c r="AA1078" s="1"/>
      <c r="AB1078" s="1"/>
      <c r="AC1078" s="75"/>
      <c r="AD1078" s="75"/>
      <c r="AE1078" s="1"/>
      <c r="AF1078" s="1"/>
      <c r="AG1078" s="1"/>
    </row>
    <row r="1079">
      <c r="A1079" s="1"/>
      <c r="B1079" s="1"/>
      <c r="C1079" s="75"/>
      <c r="D1079" s="75"/>
      <c r="E1079" s="75"/>
      <c r="F1079" s="75"/>
      <c r="G1079" s="75"/>
      <c r="H1079" s="1"/>
      <c r="I1079" s="76"/>
      <c r="J1079" s="1"/>
      <c r="K1079" s="1"/>
      <c r="L1079" s="75"/>
      <c r="M1079" s="1"/>
      <c r="N1079" s="1"/>
      <c r="O1079" s="1"/>
      <c r="P1079" s="1"/>
      <c r="Q1079" s="1"/>
      <c r="R1079" s="1"/>
      <c r="S1079" s="1"/>
      <c r="T1079" s="75"/>
      <c r="U1079" s="1"/>
      <c r="V1079" s="1"/>
      <c r="W1079" s="1"/>
      <c r="X1079" s="1"/>
      <c r="Y1079" s="1"/>
      <c r="Z1079" s="75"/>
      <c r="AA1079" s="1"/>
      <c r="AB1079" s="1"/>
      <c r="AC1079" s="75"/>
      <c r="AD1079" s="75"/>
      <c r="AE1079" s="1"/>
      <c r="AF1079" s="1"/>
      <c r="AG1079" s="1"/>
    </row>
    <row r="1080">
      <c r="A1080" s="1"/>
      <c r="B1080" s="1"/>
      <c r="C1080" s="75"/>
      <c r="D1080" s="75"/>
      <c r="E1080" s="75"/>
      <c r="F1080" s="75"/>
      <c r="G1080" s="75"/>
      <c r="H1080" s="1"/>
      <c r="I1080" s="76"/>
      <c r="J1080" s="1"/>
      <c r="K1080" s="1"/>
      <c r="L1080" s="75"/>
      <c r="M1080" s="1"/>
      <c r="N1080" s="1"/>
      <c r="O1080" s="1"/>
      <c r="P1080" s="1"/>
      <c r="Q1080" s="1"/>
      <c r="R1080" s="1"/>
      <c r="S1080" s="1"/>
      <c r="T1080" s="75"/>
      <c r="U1080" s="1"/>
      <c r="V1080" s="1"/>
      <c r="W1080" s="1"/>
      <c r="X1080" s="1"/>
      <c r="Y1080" s="1"/>
      <c r="Z1080" s="75"/>
      <c r="AA1080" s="1"/>
      <c r="AB1080" s="1"/>
      <c r="AC1080" s="75"/>
      <c r="AD1080" s="75"/>
      <c r="AE1080" s="1"/>
      <c r="AF1080" s="1"/>
      <c r="AG1080" s="1"/>
    </row>
    <row r="1081">
      <c r="A1081" s="1"/>
      <c r="B1081" s="1"/>
      <c r="C1081" s="75"/>
      <c r="D1081" s="75"/>
      <c r="E1081" s="75"/>
      <c r="F1081" s="75"/>
      <c r="G1081" s="75"/>
      <c r="H1081" s="1"/>
      <c r="I1081" s="76"/>
      <c r="J1081" s="1"/>
      <c r="K1081" s="1"/>
      <c r="L1081" s="75"/>
      <c r="M1081" s="1"/>
      <c r="N1081" s="1"/>
      <c r="O1081" s="1"/>
      <c r="P1081" s="1"/>
      <c r="Q1081" s="1"/>
      <c r="R1081" s="1"/>
      <c r="S1081" s="1"/>
      <c r="T1081" s="75"/>
      <c r="U1081" s="1"/>
      <c r="V1081" s="1"/>
      <c r="W1081" s="1"/>
      <c r="X1081" s="1"/>
      <c r="Y1081" s="1"/>
      <c r="Z1081" s="75"/>
      <c r="AA1081" s="1"/>
      <c r="AB1081" s="1"/>
      <c r="AC1081" s="75"/>
      <c r="AD1081" s="75"/>
      <c r="AE1081" s="1"/>
      <c r="AF1081" s="1"/>
      <c r="AG1081" s="1"/>
    </row>
    <row r="1082">
      <c r="A1082" s="1"/>
      <c r="B1082" s="1"/>
      <c r="C1082" s="75"/>
      <c r="D1082" s="75"/>
      <c r="E1082" s="75"/>
      <c r="F1082" s="75"/>
      <c r="G1082" s="75"/>
      <c r="H1082" s="1"/>
      <c r="I1082" s="76"/>
      <c r="J1082" s="1"/>
      <c r="K1082" s="1"/>
      <c r="L1082" s="75"/>
      <c r="M1082" s="1"/>
      <c r="N1082" s="1"/>
      <c r="O1082" s="1"/>
      <c r="P1082" s="1"/>
      <c r="Q1082" s="1"/>
      <c r="R1082" s="1"/>
      <c r="S1082" s="1"/>
      <c r="T1082" s="75"/>
      <c r="U1082" s="1"/>
      <c r="V1082" s="1"/>
      <c r="W1082" s="1"/>
      <c r="X1082" s="1"/>
      <c r="Y1082" s="1"/>
      <c r="Z1082" s="75"/>
      <c r="AA1082" s="1"/>
      <c r="AB1082" s="1"/>
      <c r="AC1082" s="75"/>
      <c r="AD1082" s="75"/>
      <c r="AE1082" s="1"/>
      <c r="AF1082" s="1"/>
      <c r="AG1082" s="1"/>
    </row>
    <row r="1083">
      <c r="A1083" s="1"/>
      <c r="B1083" s="1"/>
      <c r="C1083" s="75"/>
      <c r="D1083" s="75"/>
      <c r="E1083" s="75"/>
      <c r="F1083" s="75"/>
      <c r="G1083" s="75"/>
      <c r="H1083" s="1"/>
      <c r="I1083" s="76"/>
      <c r="J1083" s="1"/>
      <c r="K1083" s="1"/>
      <c r="L1083" s="75"/>
      <c r="M1083" s="1"/>
      <c r="N1083" s="1"/>
      <c r="O1083" s="1"/>
      <c r="P1083" s="1"/>
      <c r="Q1083" s="1"/>
      <c r="R1083" s="1"/>
      <c r="S1083" s="1"/>
      <c r="T1083" s="75"/>
      <c r="U1083" s="1"/>
      <c r="V1083" s="1"/>
      <c r="W1083" s="1"/>
      <c r="X1083" s="1"/>
      <c r="Y1083" s="1"/>
      <c r="Z1083" s="75"/>
      <c r="AA1083" s="1"/>
      <c r="AB1083" s="1"/>
      <c r="AC1083" s="75"/>
      <c r="AD1083" s="75"/>
      <c r="AE1083" s="1"/>
      <c r="AF1083" s="1"/>
      <c r="AG1083" s="1"/>
    </row>
    <row r="1084">
      <c r="A1084" s="1"/>
      <c r="B1084" s="1"/>
      <c r="C1084" s="75"/>
      <c r="D1084" s="75"/>
      <c r="E1084" s="75"/>
      <c r="F1084" s="75"/>
      <c r="G1084" s="75"/>
      <c r="H1084" s="1"/>
      <c r="I1084" s="76"/>
      <c r="J1084" s="1"/>
      <c r="K1084" s="1"/>
      <c r="L1084" s="75"/>
      <c r="M1084" s="1"/>
      <c r="N1084" s="1"/>
      <c r="O1084" s="1"/>
      <c r="P1084" s="1"/>
      <c r="Q1084" s="1"/>
      <c r="R1084" s="1"/>
      <c r="S1084" s="1"/>
      <c r="T1084" s="75"/>
      <c r="U1084" s="1"/>
      <c r="V1084" s="1"/>
      <c r="W1084" s="1"/>
      <c r="X1084" s="1"/>
      <c r="Y1084" s="1"/>
      <c r="Z1084" s="75"/>
      <c r="AA1084" s="1"/>
      <c r="AB1084" s="1"/>
      <c r="AC1084" s="75"/>
      <c r="AD1084" s="75"/>
      <c r="AE1084" s="1"/>
      <c r="AF1084" s="1"/>
      <c r="AG1084" s="1"/>
    </row>
    <row r="1085">
      <c r="A1085" s="1"/>
      <c r="B1085" s="1"/>
      <c r="C1085" s="75"/>
      <c r="D1085" s="75"/>
      <c r="E1085" s="75"/>
      <c r="F1085" s="75"/>
      <c r="G1085" s="75"/>
      <c r="H1085" s="1"/>
      <c r="I1085" s="76"/>
      <c r="J1085" s="1"/>
      <c r="K1085" s="1"/>
      <c r="L1085" s="75"/>
      <c r="M1085" s="1"/>
      <c r="N1085" s="1"/>
      <c r="O1085" s="1"/>
      <c r="P1085" s="1"/>
      <c r="Q1085" s="1"/>
      <c r="R1085" s="1"/>
      <c r="S1085" s="1"/>
      <c r="T1085" s="75"/>
      <c r="U1085" s="1"/>
      <c r="V1085" s="1"/>
      <c r="W1085" s="1"/>
      <c r="X1085" s="1"/>
      <c r="Y1085" s="1"/>
      <c r="Z1085" s="75"/>
      <c r="AA1085" s="1"/>
      <c r="AB1085" s="1"/>
      <c r="AC1085" s="75"/>
      <c r="AD1085" s="75"/>
      <c r="AE1085" s="1"/>
      <c r="AF1085" s="1"/>
      <c r="AG1085" s="1"/>
    </row>
    <row r="1086">
      <c r="A1086" s="1"/>
      <c r="B1086" s="1"/>
      <c r="C1086" s="75"/>
      <c r="D1086" s="75"/>
      <c r="E1086" s="75"/>
      <c r="F1086" s="75"/>
      <c r="G1086" s="75"/>
      <c r="H1086" s="1"/>
      <c r="I1086" s="76"/>
      <c r="J1086" s="1"/>
      <c r="K1086" s="1"/>
      <c r="L1086" s="75"/>
      <c r="M1086" s="1"/>
      <c r="N1086" s="1"/>
      <c r="O1086" s="1"/>
      <c r="P1086" s="1"/>
      <c r="Q1086" s="1"/>
      <c r="R1086" s="1"/>
      <c r="S1086" s="1"/>
      <c r="T1086" s="75"/>
      <c r="U1086" s="1"/>
      <c r="V1086" s="1"/>
      <c r="W1086" s="1"/>
      <c r="X1086" s="1"/>
      <c r="Y1086" s="1"/>
      <c r="Z1086" s="75"/>
      <c r="AA1086" s="1"/>
      <c r="AB1086" s="1"/>
      <c r="AC1086" s="75"/>
      <c r="AD1086" s="75"/>
      <c r="AE1086" s="1"/>
      <c r="AF1086" s="1"/>
      <c r="AG1086" s="1"/>
    </row>
    <row r="1087">
      <c r="A1087" s="1"/>
      <c r="B1087" s="1"/>
      <c r="C1087" s="75"/>
      <c r="D1087" s="75"/>
      <c r="E1087" s="75"/>
      <c r="F1087" s="75"/>
      <c r="G1087" s="75"/>
      <c r="H1087" s="1"/>
      <c r="I1087" s="76"/>
      <c r="J1087" s="1"/>
      <c r="K1087" s="1"/>
      <c r="L1087" s="75"/>
      <c r="M1087" s="1"/>
      <c r="N1087" s="1"/>
      <c r="O1087" s="1"/>
      <c r="P1087" s="1"/>
      <c r="Q1087" s="1"/>
      <c r="R1087" s="1"/>
      <c r="S1087" s="1"/>
      <c r="T1087" s="75"/>
      <c r="U1087" s="1"/>
      <c r="V1087" s="1"/>
      <c r="W1087" s="1"/>
      <c r="X1087" s="1"/>
      <c r="Y1087" s="1"/>
      <c r="Z1087" s="75"/>
      <c r="AA1087" s="1"/>
      <c r="AB1087" s="1"/>
      <c r="AC1087" s="75"/>
      <c r="AD1087" s="75"/>
      <c r="AE1087" s="1"/>
      <c r="AF1087" s="1"/>
      <c r="AG1087" s="1"/>
    </row>
    <row r="1088">
      <c r="A1088" s="1"/>
      <c r="B1088" s="1"/>
      <c r="C1088" s="75"/>
      <c r="D1088" s="75"/>
      <c r="E1088" s="75"/>
      <c r="F1088" s="75"/>
      <c r="G1088" s="75"/>
      <c r="H1088" s="1"/>
      <c r="I1088" s="76"/>
      <c r="J1088" s="1"/>
      <c r="K1088" s="1"/>
      <c r="L1088" s="75"/>
      <c r="M1088" s="1"/>
      <c r="N1088" s="1"/>
      <c r="O1088" s="1"/>
      <c r="P1088" s="1"/>
      <c r="Q1088" s="1"/>
      <c r="R1088" s="1"/>
      <c r="S1088" s="1"/>
      <c r="T1088" s="75"/>
      <c r="U1088" s="1"/>
      <c r="V1088" s="1"/>
      <c r="W1088" s="1"/>
      <c r="X1088" s="1"/>
      <c r="Y1088" s="1"/>
      <c r="Z1088" s="75"/>
      <c r="AA1088" s="1"/>
      <c r="AB1088" s="1"/>
      <c r="AC1088" s="75"/>
      <c r="AD1088" s="75"/>
      <c r="AE1088" s="1"/>
      <c r="AF1088" s="1"/>
      <c r="AG1088" s="1"/>
    </row>
    <row r="1089">
      <c r="A1089" s="1"/>
      <c r="B1089" s="1"/>
      <c r="C1089" s="75"/>
      <c r="D1089" s="75"/>
      <c r="E1089" s="75"/>
      <c r="F1089" s="75"/>
      <c r="G1089" s="75"/>
      <c r="H1089" s="1"/>
      <c r="I1089" s="76"/>
      <c r="J1089" s="1"/>
      <c r="K1089" s="1"/>
      <c r="L1089" s="75"/>
      <c r="M1089" s="1"/>
      <c r="N1089" s="1"/>
      <c r="O1089" s="1"/>
      <c r="P1089" s="1"/>
      <c r="Q1089" s="1"/>
      <c r="R1089" s="1"/>
      <c r="S1089" s="1"/>
      <c r="T1089" s="75"/>
      <c r="U1089" s="1"/>
      <c r="V1089" s="1"/>
      <c r="W1089" s="1"/>
      <c r="X1089" s="1"/>
      <c r="Y1089" s="1"/>
      <c r="Z1089" s="75"/>
      <c r="AA1089" s="1"/>
      <c r="AB1089" s="1"/>
      <c r="AC1089" s="75"/>
      <c r="AD1089" s="75"/>
      <c r="AE1089" s="1"/>
      <c r="AF1089" s="1"/>
      <c r="AG1089" s="1"/>
    </row>
    <row r="1090">
      <c r="A1090" s="1"/>
      <c r="B1090" s="1"/>
      <c r="C1090" s="75"/>
      <c r="D1090" s="75"/>
      <c r="E1090" s="75"/>
      <c r="F1090" s="75"/>
      <c r="G1090" s="75"/>
      <c r="H1090" s="1"/>
      <c r="I1090" s="76"/>
      <c r="J1090" s="1"/>
      <c r="K1090" s="1"/>
      <c r="L1090" s="75"/>
      <c r="M1090" s="1"/>
      <c r="N1090" s="1"/>
      <c r="O1090" s="1"/>
      <c r="P1090" s="1"/>
      <c r="Q1090" s="1"/>
      <c r="R1090" s="1"/>
      <c r="S1090" s="1"/>
      <c r="T1090" s="75"/>
      <c r="U1090" s="1"/>
      <c r="V1090" s="1"/>
      <c r="W1090" s="1"/>
      <c r="X1090" s="1"/>
      <c r="Y1090" s="1"/>
      <c r="Z1090" s="75"/>
      <c r="AA1090" s="1"/>
      <c r="AB1090" s="1"/>
      <c r="AC1090" s="75"/>
      <c r="AD1090" s="75"/>
      <c r="AE1090" s="1"/>
      <c r="AF1090" s="1"/>
      <c r="AG1090" s="1"/>
    </row>
    <row r="1091">
      <c r="A1091" s="1"/>
      <c r="B1091" s="1"/>
      <c r="C1091" s="75"/>
      <c r="D1091" s="75"/>
      <c r="E1091" s="75"/>
      <c r="F1091" s="75"/>
      <c r="G1091" s="75"/>
      <c r="H1091" s="1"/>
      <c r="I1091" s="76"/>
      <c r="J1091" s="1"/>
      <c r="K1091" s="1"/>
      <c r="L1091" s="75"/>
      <c r="M1091" s="1"/>
      <c r="N1091" s="1"/>
      <c r="O1091" s="1"/>
      <c r="P1091" s="1"/>
      <c r="Q1091" s="1"/>
      <c r="R1091" s="1"/>
      <c r="S1091" s="1"/>
      <c r="T1091" s="75"/>
      <c r="U1091" s="1"/>
      <c r="V1091" s="1"/>
      <c r="W1091" s="1"/>
      <c r="X1091" s="1"/>
      <c r="Y1091" s="1"/>
      <c r="Z1091" s="75"/>
      <c r="AA1091" s="1"/>
      <c r="AB1091" s="1"/>
      <c r="AC1091" s="75"/>
      <c r="AD1091" s="75"/>
      <c r="AE1091" s="1"/>
      <c r="AF1091" s="1"/>
      <c r="AG1091" s="1"/>
    </row>
    <row r="1092">
      <c r="A1092" s="1"/>
      <c r="B1092" s="1"/>
      <c r="C1092" s="75"/>
      <c r="D1092" s="75"/>
      <c r="E1092" s="75"/>
      <c r="F1092" s="75"/>
      <c r="G1092" s="75"/>
      <c r="H1092" s="1"/>
      <c r="I1092" s="76"/>
      <c r="J1092" s="1"/>
      <c r="K1092" s="1"/>
      <c r="L1092" s="75"/>
      <c r="M1092" s="1"/>
      <c r="N1092" s="1"/>
      <c r="O1092" s="1"/>
      <c r="P1092" s="1"/>
      <c r="Q1092" s="1"/>
      <c r="R1092" s="1"/>
      <c r="S1092" s="1"/>
      <c r="T1092" s="75"/>
      <c r="U1092" s="1"/>
      <c r="V1092" s="1"/>
      <c r="W1092" s="1"/>
      <c r="X1092" s="1"/>
      <c r="Y1092" s="1"/>
      <c r="Z1092" s="75"/>
      <c r="AA1092" s="1"/>
      <c r="AB1092" s="1"/>
      <c r="AC1092" s="75"/>
      <c r="AD1092" s="75"/>
      <c r="AE1092" s="1"/>
      <c r="AF1092" s="1"/>
      <c r="AG1092" s="1"/>
    </row>
    <row r="1093">
      <c r="A1093" s="1"/>
      <c r="B1093" s="1"/>
      <c r="C1093" s="75"/>
      <c r="D1093" s="75"/>
      <c r="E1093" s="75"/>
      <c r="F1093" s="75"/>
      <c r="G1093" s="75"/>
      <c r="H1093" s="1"/>
      <c r="I1093" s="76"/>
      <c r="J1093" s="1"/>
      <c r="K1093" s="1"/>
      <c r="L1093" s="75"/>
      <c r="M1093" s="1"/>
      <c r="N1093" s="1"/>
      <c r="O1093" s="1"/>
      <c r="P1093" s="1"/>
      <c r="Q1093" s="1"/>
      <c r="R1093" s="1"/>
      <c r="S1093" s="1"/>
      <c r="T1093" s="75"/>
      <c r="U1093" s="1"/>
      <c r="V1093" s="1"/>
      <c r="W1093" s="1"/>
      <c r="X1093" s="1"/>
      <c r="Y1093" s="1"/>
      <c r="Z1093" s="75"/>
      <c r="AA1093" s="1"/>
      <c r="AB1093" s="1"/>
      <c r="AC1093" s="75"/>
      <c r="AD1093" s="75"/>
      <c r="AE1093" s="1"/>
      <c r="AF1093" s="1"/>
      <c r="AG1093" s="1"/>
    </row>
    <row r="1094">
      <c r="A1094" s="1"/>
      <c r="B1094" s="1"/>
      <c r="C1094" s="75"/>
      <c r="D1094" s="75"/>
      <c r="E1094" s="75"/>
      <c r="F1094" s="75"/>
      <c r="G1094" s="75"/>
      <c r="H1094" s="1"/>
      <c r="I1094" s="76"/>
      <c r="J1094" s="1"/>
      <c r="K1094" s="1"/>
      <c r="L1094" s="75"/>
      <c r="M1094" s="1"/>
      <c r="N1094" s="1"/>
      <c r="O1094" s="1"/>
      <c r="P1094" s="1"/>
      <c r="Q1094" s="1"/>
      <c r="R1094" s="1"/>
      <c r="S1094" s="1"/>
      <c r="T1094" s="75"/>
      <c r="U1094" s="1"/>
      <c r="V1094" s="1"/>
      <c r="W1094" s="1"/>
      <c r="X1094" s="1"/>
      <c r="Y1094" s="1"/>
      <c r="Z1094" s="75"/>
      <c r="AA1094" s="1"/>
      <c r="AB1094" s="1"/>
      <c r="AC1094" s="75"/>
      <c r="AD1094" s="75"/>
      <c r="AE1094" s="1"/>
      <c r="AF1094" s="1"/>
      <c r="AG1094" s="1"/>
    </row>
    <row r="1095">
      <c r="A1095" s="1"/>
      <c r="B1095" s="1"/>
      <c r="C1095" s="75"/>
      <c r="D1095" s="75"/>
      <c r="E1095" s="75"/>
      <c r="F1095" s="75"/>
      <c r="G1095" s="75"/>
      <c r="H1095" s="1"/>
      <c r="I1095" s="76"/>
      <c r="J1095" s="1"/>
      <c r="K1095" s="1"/>
      <c r="L1095" s="75"/>
      <c r="M1095" s="1"/>
      <c r="N1095" s="1"/>
      <c r="O1095" s="1"/>
      <c r="P1095" s="1"/>
      <c r="Q1095" s="1"/>
      <c r="R1095" s="1"/>
      <c r="S1095" s="1"/>
      <c r="T1095" s="75"/>
      <c r="U1095" s="1"/>
      <c r="V1095" s="1"/>
      <c r="W1095" s="1"/>
      <c r="X1095" s="1"/>
      <c r="Y1095" s="1"/>
      <c r="Z1095" s="75"/>
      <c r="AA1095" s="1"/>
      <c r="AB1095" s="1"/>
      <c r="AC1095" s="75"/>
      <c r="AD1095" s="75"/>
      <c r="AE1095" s="1"/>
      <c r="AF1095" s="1"/>
      <c r="AG1095" s="1"/>
    </row>
    <row r="1096">
      <c r="A1096" s="1"/>
      <c r="B1096" s="1"/>
      <c r="C1096" s="75"/>
      <c r="D1096" s="75"/>
      <c r="E1096" s="75"/>
      <c r="F1096" s="75"/>
      <c r="G1096" s="75"/>
      <c r="H1096" s="1"/>
      <c r="I1096" s="76"/>
      <c r="J1096" s="1"/>
      <c r="K1096" s="1"/>
      <c r="L1096" s="75"/>
      <c r="M1096" s="1"/>
      <c r="N1096" s="1"/>
      <c r="O1096" s="1"/>
      <c r="P1096" s="1"/>
      <c r="Q1096" s="1"/>
      <c r="R1096" s="1"/>
      <c r="S1096" s="1"/>
      <c r="T1096" s="75"/>
      <c r="U1096" s="1"/>
      <c r="V1096" s="1"/>
      <c r="W1096" s="1"/>
      <c r="X1096" s="1"/>
      <c r="Y1096" s="1"/>
      <c r="Z1096" s="75"/>
      <c r="AA1096" s="1"/>
      <c r="AB1096" s="1"/>
      <c r="AC1096" s="75"/>
      <c r="AD1096" s="75"/>
      <c r="AE1096" s="1"/>
      <c r="AF1096" s="1"/>
      <c r="AG1096" s="1"/>
    </row>
    <row r="1097">
      <c r="A1097" s="1"/>
      <c r="B1097" s="1"/>
      <c r="C1097" s="75"/>
      <c r="D1097" s="75"/>
      <c r="E1097" s="75"/>
      <c r="F1097" s="75"/>
      <c r="G1097" s="75"/>
      <c r="H1097" s="1"/>
      <c r="I1097" s="76"/>
      <c r="J1097" s="1"/>
      <c r="K1097" s="1"/>
      <c r="L1097" s="75"/>
      <c r="M1097" s="1"/>
      <c r="N1097" s="1"/>
      <c r="O1097" s="1"/>
      <c r="P1097" s="1"/>
      <c r="Q1097" s="1"/>
      <c r="R1097" s="1"/>
      <c r="S1097" s="1"/>
      <c r="T1097" s="75"/>
      <c r="U1097" s="1"/>
      <c r="V1097" s="1"/>
      <c r="W1097" s="1"/>
      <c r="X1097" s="1"/>
      <c r="Y1097" s="1"/>
      <c r="Z1097" s="75"/>
      <c r="AA1097" s="1"/>
      <c r="AB1097" s="1"/>
      <c r="AC1097" s="75"/>
      <c r="AD1097" s="75"/>
      <c r="AE1097" s="1"/>
      <c r="AF1097" s="1"/>
      <c r="AG1097" s="1"/>
    </row>
    <row r="1098">
      <c r="A1098" s="1"/>
      <c r="B1098" s="1"/>
      <c r="C1098" s="75"/>
      <c r="D1098" s="75"/>
      <c r="E1098" s="75"/>
      <c r="F1098" s="75"/>
      <c r="G1098" s="75"/>
      <c r="H1098" s="1"/>
      <c r="I1098" s="76"/>
      <c r="J1098" s="1"/>
      <c r="K1098" s="1"/>
      <c r="L1098" s="75"/>
      <c r="M1098" s="1"/>
      <c r="N1098" s="1"/>
      <c r="O1098" s="1"/>
      <c r="P1098" s="1"/>
      <c r="Q1098" s="1"/>
      <c r="R1098" s="1"/>
      <c r="S1098" s="1"/>
      <c r="T1098" s="75"/>
      <c r="U1098" s="1"/>
      <c r="V1098" s="1"/>
      <c r="W1098" s="1"/>
      <c r="X1098" s="1"/>
      <c r="Y1098" s="1"/>
      <c r="Z1098" s="75"/>
      <c r="AA1098" s="1"/>
      <c r="AB1098" s="1"/>
      <c r="AC1098" s="75"/>
      <c r="AD1098" s="75"/>
      <c r="AE1098" s="1"/>
      <c r="AF1098" s="1"/>
      <c r="AG1098" s="1"/>
    </row>
    <row r="1099">
      <c r="A1099" s="1"/>
      <c r="B1099" s="1"/>
      <c r="C1099" s="75"/>
      <c r="D1099" s="75"/>
      <c r="E1099" s="75"/>
      <c r="F1099" s="75"/>
      <c r="G1099" s="75"/>
      <c r="H1099" s="1"/>
      <c r="I1099" s="76"/>
      <c r="J1099" s="1"/>
      <c r="K1099" s="1"/>
      <c r="L1099" s="75"/>
      <c r="M1099" s="1"/>
      <c r="N1099" s="1"/>
      <c r="O1099" s="1"/>
      <c r="P1099" s="1"/>
      <c r="Q1099" s="1"/>
      <c r="R1099" s="1"/>
      <c r="S1099" s="1"/>
      <c r="T1099" s="75"/>
      <c r="U1099" s="1"/>
      <c r="V1099" s="1"/>
      <c r="W1099" s="1"/>
      <c r="X1099" s="1"/>
      <c r="Y1099" s="1"/>
      <c r="Z1099" s="75"/>
      <c r="AA1099" s="1"/>
      <c r="AB1099" s="1"/>
      <c r="AC1099" s="75"/>
      <c r="AD1099" s="75"/>
      <c r="AE1099" s="1"/>
      <c r="AF1099" s="1"/>
      <c r="AG1099" s="1"/>
    </row>
    <row r="1100">
      <c r="A1100" s="1"/>
      <c r="B1100" s="1"/>
      <c r="C1100" s="75"/>
      <c r="D1100" s="75"/>
      <c r="E1100" s="75"/>
      <c r="F1100" s="75"/>
      <c r="G1100" s="75"/>
      <c r="H1100" s="1"/>
      <c r="I1100" s="76"/>
      <c r="J1100" s="1"/>
      <c r="K1100" s="1"/>
      <c r="L1100" s="75"/>
      <c r="M1100" s="1"/>
      <c r="N1100" s="1"/>
      <c r="O1100" s="1"/>
      <c r="P1100" s="1"/>
      <c r="Q1100" s="1"/>
      <c r="R1100" s="1"/>
      <c r="S1100" s="1"/>
      <c r="T1100" s="75"/>
      <c r="U1100" s="1"/>
      <c r="V1100" s="1"/>
      <c r="W1100" s="1"/>
      <c r="X1100" s="1"/>
      <c r="Y1100" s="1"/>
      <c r="Z1100" s="75"/>
      <c r="AA1100" s="1"/>
      <c r="AB1100" s="1"/>
      <c r="AC1100" s="75"/>
      <c r="AD1100" s="75"/>
      <c r="AE1100" s="1"/>
      <c r="AF1100" s="1"/>
      <c r="AG1100" s="1"/>
    </row>
    <row r="1101">
      <c r="A1101" s="1"/>
      <c r="B1101" s="1"/>
      <c r="C1101" s="75"/>
      <c r="D1101" s="75"/>
      <c r="E1101" s="75"/>
      <c r="F1101" s="75"/>
      <c r="G1101" s="75"/>
      <c r="H1101" s="1"/>
      <c r="I1101" s="76"/>
      <c r="J1101" s="1"/>
      <c r="K1101" s="1"/>
      <c r="L1101" s="75"/>
      <c r="M1101" s="1"/>
      <c r="N1101" s="1"/>
      <c r="O1101" s="1"/>
      <c r="P1101" s="1"/>
      <c r="Q1101" s="1"/>
      <c r="R1101" s="1"/>
      <c r="S1101" s="1"/>
      <c r="T1101" s="75"/>
      <c r="U1101" s="1"/>
      <c r="V1101" s="1"/>
      <c r="W1101" s="1"/>
      <c r="X1101" s="1"/>
      <c r="Y1101" s="1"/>
      <c r="Z1101" s="75"/>
      <c r="AA1101" s="1"/>
      <c r="AB1101" s="1"/>
      <c r="AC1101" s="75"/>
      <c r="AD1101" s="75"/>
      <c r="AE1101" s="1"/>
      <c r="AF1101" s="1"/>
      <c r="AG1101" s="1"/>
    </row>
    <row r="1102">
      <c r="A1102" s="1"/>
      <c r="B1102" s="1"/>
      <c r="C1102" s="75"/>
      <c r="D1102" s="75"/>
      <c r="E1102" s="75"/>
      <c r="F1102" s="75"/>
      <c r="G1102" s="75"/>
      <c r="H1102" s="1"/>
      <c r="I1102" s="76"/>
      <c r="J1102" s="1"/>
      <c r="K1102" s="1"/>
      <c r="L1102" s="75"/>
      <c r="M1102" s="1"/>
      <c r="N1102" s="1"/>
      <c r="O1102" s="1"/>
      <c r="P1102" s="1"/>
      <c r="Q1102" s="1"/>
      <c r="R1102" s="1"/>
      <c r="S1102" s="1"/>
      <c r="T1102" s="75"/>
      <c r="U1102" s="1"/>
      <c r="V1102" s="1"/>
      <c r="W1102" s="1"/>
      <c r="X1102" s="1"/>
      <c r="Y1102" s="1"/>
      <c r="Z1102" s="75"/>
      <c r="AA1102" s="1"/>
      <c r="AB1102" s="1"/>
      <c r="AC1102" s="75"/>
      <c r="AD1102" s="75"/>
      <c r="AE1102" s="1"/>
      <c r="AF1102" s="1"/>
      <c r="AG1102" s="1"/>
    </row>
    <row r="1103">
      <c r="A1103" s="1"/>
      <c r="B1103" s="1"/>
      <c r="C1103" s="75"/>
      <c r="D1103" s="75"/>
      <c r="E1103" s="75"/>
      <c r="F1103" s="75"/>
      <c r="G1103" s="75"/>
      <c r="H1103" s="1"/>
      <c r="I1103" s="76"/>
      <c r="J1103" s="1"/>
      <c r="K1103" s="1"/>
      <c r="L1103" s="75"/>
      <c r="M1103" s="1"/>
      <c r="N1103" s="1"/>
      <c r="O1103" s="1"/>
      <c r="P1103" s="1"/>
      <c r="Q1103" s="1"/>
      <c r="R1103" s="1"/>
      <c r="S1103" s="1"/>
      <c r="T1103" s="75"/>
      <c r="U1103" s="1"/>
      <c r="V1103" s="1"/>
      <c r="W1103" s="1"/>
      <c r="X1103" s="1"/>
      <c r="Y1103" s="1"/>
      <c r="Z1103" s="75"/>
      <c r="AA1103" s="1"/>
      <c r="AB1103" s="1"/>
      <c r="AC1103" s="75"/>
      <c r="AD1103" s="75"/>
      <c r="AE1103" s="1"/>
      <c r="AF1103" s="1"/>
      <c r="AG1103" s="1"/>
    </row>
    <row r="1104">
      <c r="A1104" s="1"/>
      <c r="B1104" s="1"/>
      <c r="C1104" s="75"/>
      <c r="D1104" s="75"/>
      <c r="E1104" s="75"/>
      <c r="F1104" s="75"/>
      <c r="G1104" s="75"/>
      <c r="H1104" s="1"/>
      <c r="I1104" s="76"/>
      <c r="J1104" s="1"/>
      <c r="K1104" s="1"/>
      <c r="L1104" s="75"/>
      <c r="M1104" s="1"/>
      <c r="N1104" s="1"/>
      <c r="O1104" s="1"/>
      <c r="P1104" s="1"/>
      <c r="Q1104" s="1"/>
      <c r="R1104" s="1"/>
      <c r="S1104" s="1"/>
      <c r="T1104" s="75"/>
      <c r="U1104" s="1"/>
      <c r="V1104" s="1"/>
      <c r="W1104" s="1"/>
      <c r="X1104" s="1"/>
      <c r="Y1104" s="1"/>
      <c r="Z1104" s="75"/>
      <c r="AA1104" s="1"/>
      <c r="AB1104" s="1"/>
      <c r="AC1104" s="75"/>
      <c r="AD1104" s="75"/>
      <c r="AE1104" s="1"/>
      <c r="AF1104" s="1"/>
      <c r="AG1104" s="1"/>
    </row>
    <row r="1105">
      <c r="A1105" s="1"/>
      <c r="B1105" s="1"/>
      <c r="C1105" s="75"/>
      <c r="D1105" s="75"/>
      <c r="E1105" s="75"/>
      <c r="F1105" s="75"/>
      <c r="G1105" s="75"/>
      <c r="H1105" s="1"/>
      <c r="I1105" s="76"/>
      <c r="J1105" s="1"/>
      <c r="K1105" s="1"/>
      <c r="L1105" s="75"/>
      <c r="M1105" s="1"/>
      <c r="N1105" s="1"/>
      <c r="O1105" s="1"/>
      <c r="P1105" s="1"/>
      <c r="Q1105" s="1"/>
      <c r="R1105" s="1"/>
      <c r="S1105" s="1"/>
      <c r="T1105" s="75"/>
      <c r="U1105" s="1"/>
      <c r="V1105" s="1"/>
      <c r="W1105" s="1"/>
      <c r="X1105" s="1"/>
      <c r="Y1105" s="1"/>
      <c r="Z1105" s="75"/>
      <c r="AA1105" s="1"/>
      <c r="AB1105" s="1"/>
      <c r="AC1105" s="75"/>
      <c r="AD1105" s="75"/>
      <c r="AE1105" s="1"/>
      <c r="AF1105" s="1"/>
      <c r="AG1105" s="1"/>
    </row>
    <row r="1106">
      <c r="A1106" s="1"/>
      <c r="B1106" s="1"/>
      <c r="C1106" s="75"/>
      <c r="D1106" s="75"/>
      <c r="E1106" s="75"/>
      <c r="F1106" s="75"/>
      <c r="G1106" s="75"/>
      <c r="H1106" s="1"/>
      <c r="I1106" s="76"/>
      <c r="J1106" s="1"/>
      <c r="K1106" s="1"/>
      <c r="L1106" s="75"/>
      <c r="M1106" s="1"/>
      <c r="N1106" s="1"/>
      <c r="O1106" s="1"/>
      <c r="P1106" s="1"/>
      <c r="Q1106" s="1"/>
      <c r="R1106" s="1"/>
      <c r="S1106" s="1"/>
      <c r="T1106" s="75"/>
      <c r="U1106" s="1"/>
      <c r="V1106" s="1"/>
      <c r="W1106" s="1"/>
      <c r="X1106" s="1"/>
      <c r="Y1106" s="1"/>
      <c r="Z1106" s="75"/>
      <c r="AA1106" s="1"/>
      <c r="AB1106" s="1"/>
      <c r="AC1106" s="75"/>
      <c r="AD1106" s="75"/>
      <c r="AE1106" s="1"/>
      <c r="AF1106" s="1"/>
      <c r="AG1106" s="1"/>
    </row>
    <row r="1107">
      <c r="A1107" s="1"/>
      <c r="B1107" s="1"/>
      <c r="C1107" s="75"/>
      <c r="D1107" s="75"/>
      <c r="E1107" s="75"/>
      <c r="F1107" s="75"/>
      <c r="G1107" s="75"/>
      <c r="H1107" s="1"/>
      <c r="I1107" s="76"/>
      <c r="J1107" s="1"/>
      <c r="K1107" s="1"/>
      <c r="L1107" s="75"/>
      <c r="M1107" s="1"/>
      <c r="N1107" s="1"/>
      <c r="O1107" s="1"/>
      <c r="P1107" s="1"/>
      <c r="Q1107" s="1"/>
      <c r="R1107" s="1"/>
      <c r="S1107" s="1"/>
      <c r="T1107" s="75"/>
      <c r="U1107" s="1"/>
      <c r="V1107" s="1"/>
      <c r="W1107" s="1"/>
      <c r="X1107" s="1"/>
      <c r="Y1107" s="1"/>
      <c r="Z1107" s="75"/>
      <c r="AA1107" s="1"/>
      <c r="AB1107" s="1"/>
      <c r="AC1107" s="75"/>
      <c r="AD1107" s="75"/>
      <c r="AE1107" s="1"/>
      <c r="AF1107" s="1"/>
      <c r="AG1107" s="1"/>
    </row>
    <row r="1108">
      <c r="A1108" s="1"/>
      <c r="B1108" s="1"/>
      <c r="C1108" s="75"/>
      <c r="D1108" s="75"/>
      <c r="E1108" s="75"/>
      <c r="F1108" s="75"/>
      <c r="G1108" s="75"/>
      <c r="H1108" s="1"/>
      <c r="I1108" s="76"/>
      <c r="J1108" s="1"/>
      <c r="K1108" s="1"/>
      <c r="L1108" s="75"/>
      <c r="M1108" s="1"/>
      <c r="N1108" s="1"/>
      <c r="O1108" s="1"/>
      <c r="P1108" s="1"/>
      <c r="Q1108" s="1"/>
      <c r="R1108" s="1"/>
      <c r="S1108" s="1"/>
      <c r="T1108" s="75"/>
      <c r="U1108" s="1"/>
      <c r="V1108" s="1"/>
      <c r="W1108" s="1"/>
      <c r="X1108" s="1"/>
      <c r="Y1108" s="1"/>
      <c r="Z1108" s="75"/>
      <c r="AA1108" s="1"/>
      <c r="AB1108" s="1"/>
      <c r="AC1108" s="75"/>
      <c r="AD1108" s="75"/>
      <c r="AE1108" s="1"/>
      <c r="AF1108" s="1"/>
      <c r="AG1108" s="1"/>
    </row>
    <row r="1109">
      <c r="A1109" s="1"/>
      <c r="B1109" s="1"/>
      <c r="C1109" s="75"/>
      <c r="D1109" s="75"/>
      <c r="E1109" s="75"/>
      <c r="F1109" s="75"/>
      <c r="G1109" s="75"/>
      <c r="H1109" s="1"/>
      <c r="I1109" s="76"/>
      <c r="J1109" s="1"/>
      <c r="K1109" s="1"/>
      <c r="L1109" s="75"/>
      <c r="M1109" s="1"/>
      <c r="N1109" s="1"/>
      <c r="O1109" s="1"/>
      <c r="P1109" s="1"/>
      <c r="Q1109" s="1"/>
      <c r="R1109" s="1"/>
      <c r="S1109" s="1"/>
      <c r="T1109" s="75"/>
      <c r="U1109" s="1"/>
      <c r="V1109" s="1"/>
      <c r="W1109" s="1"/>
      <c r="X1109" s="1"/>
      <c r="Y1109" s="1"/>
      <c r="Z1109" s="75"/>
      <c r="AA1109" s="1"/>
      <c r="AB1109" s="1"/>
      <c r="AC1109" s="75"/>
      <c r="AD1109" s="75"/>
      <c r="AE1109" s="1"/>
      <c r="AF1109" s="1"/>
      <c r="AG1109" s="1"/>
    </row>
    <row r="1110">
      <c r="A1110" s="1"/>
      <c r="B1110" s="1"/>
      <c r="C1110" s="75"/>
      <c r="D1110" s="75"/>
      <c r="E1110" s="75"/>
      <c r="F1110" s="75"/>
      <c r="G1110" s="75"/>
      <c r="H1110" s="1"/>
      <c r="I1110" s="76"/>
      <c r="J1110" s="1"/>
      <c r="K1110" s="1"/>
      <c r="L1110" s="75"/>
      <c r="M1110" s="1"/>
      <c r="N1110" s="1"/>
      <c r="O1110" s="1"/>
      <c r="P1110" s="1"/>
      <c r="Q1110" s="1"/>
      <c r="R1110" s="1"/>
      <c r="S1110" s="1"/>
      <c r="T1110" s="75"/>
      <c r="U1110" s="1"/>
      <c r="V1110" s="1"/>
      <c r="W1110" s="1"/>
      <c r="X1110" s="1"/>
      <c r="Y1110" s="1"/>
      <c r="Z1110" s="75"/>
      <c r="AA1110" s="1"/>
      <c r="AB1110" s="1"/>
      <c r="AC1110" s="75"/>
      <c r="AD1110" s="75"/>
      <c r="AE1110" s="1"/>
      <c r="AF1110" s="1"/>
      <c r="AG1110" s="1"/>
    </row>
    <row r="1111">
      <c r="A1111" s="1"/>
      <c r="B1111" s="1"/>
      <c r="C1111" s="75"/>
      <c r="D1111" s="75"/>
      <c r="E1111" s="75"/>
      <c r="F1111" s="75"/>
      <c r="G1111" s="75"/>
      <c r="H1111" s="1"/>
      <c r="I1111" s="76"/>
      <c r="J1111" s="1"/>
      <c r="K1111" s="1"/>
      <c r="L1111" s="75"/>
      <c r="M1111" s="1"/>
      <c r="N1111" s="1"/>
      <c r="O1111" s="1"/>
      <c r="P1111" s="1"/>
      <c r="Q1111" s="1"/>
      <c r="R1111" s="1"/>
      <c r="S1111" s="1"/>
      <c r="T1111" s="75"/>
      <c r="U1111" s="1"/>
      <c r="V1111" s="1"/>
      <c r="W1111" s="1"/>
      <c r="X1111" s="1"/>
      <c r="Y1111" s="1"/>
      <c r="Z1111" s="75"/>
      <c r="AA1111" s="1"/>
      <c r="AB1111" s="1"/>
      <c r="AC1111" s="75"/>
      <c r="AD1111" s="75"/>
      <c r="AE1111" s="1"/>
      <c r="AF1111" s="1"/>
      <c r="AG1111" s="1"/>
    </row>
    <row r="1112">
      <c r="A1112" s="1"/>
      <c r="B1112" s="1"/>
      <c r="C1112" s="75"/>
      <c r="D1112" s="75"/>
      <c r="E1112" s="75"/>
      <c r="F1112" s="75"/>
      <c r="G1112" s="75"/>
      <c r="H1112" s="1"/>
      <c r="I1112" s="76"/>
      <c r="J1112" s="1"/>
      <c r="K1112" s="1"/>
      <c r="L1112" s="75"/>
      <c r="M1112" s="1"/>
      <c r="N1112" s="1"/>
      <c r="O1112" s="1"/>
      <c r="P1112" s="1"/>
      <c r="Q1112" s="1"/>
      <c r="R1112" s="1"/>
      <c r="S1112" s="1"/>
      <c r="T1112" s="75"/>
      <c r="U1112" s="1"/>
      <c r="V1112" s="1"/>
      <c r="W1112" s="1"/>
      <c r="X1112" s="1"/>
      <c r="Y1112" s="1"/>
      <c r="Z1112" s="75"/>
      <c r="AA1112" s="1"/>
      <c r="AB1112" s="1"/>
      <c r="AC1112" s="75"/>
      <c r="AD1112" s="75"/>
      <c r="AE1112" s="1"/>
      <c r="AF1112" s="1"/>
      <c r="AG1112" s="1"/>
    </row>
    <row r="1113">
      <c r="A1113" s="1"/>
      <c r="B1113" s="1"/>
      <c r="C1113" s="75"/>
      <c r="D1113" s="75"/>
      <c r="E1113" s="75"/>
      <c r="F1113" s="75"/>
      <c r="G1113" s="75"/>
      <c r="H1113" s="1"/>
      <c r="I1113" s="76"/>
      <c r="J1113" s="1"/>
      <c r="K1113" s="1"/>
      <c r="L1113" s="75"/>
      <c r="M1113" s="1"/>
      <c r="N1113" s="1"/>
      <c r="O1113" s="1"/>
      <c r="P1113" s="1"/>
      <c r="Q1113" s="1"/>
      <c r="R1113" s="1"/>
      <c r="S1113" s="1"/>
      <c r="T1113" s="75"/>
      <c r="U1113" s="1"/>
      <c r="V1113" s="1"/>
      <c r="W1113" s="1"/>
      <c r="X1113" s="1"/>
      <c r="Y1113" s="1"/>
      <c r="Z1113" s="75"/>
      <c r="AA1113" s="1"/>
      <c r="AB1113" s="1"/>
      <c r="AC1113" s="75"/>
      <c r="AD1113" s="75"/>
      <c r="AE1113" s="1"/>
      <c r="AF1113" s="1"/>
      <c r="AG1113" s="1"/>
    </row>
    <row r="1114">
      <c r="A1114" s="1"/>
      <c r="B1114" s="1"/>
      <c r="C1114" s="75"/>
      <c r="D1114" s="75"/>
      <c r="E1114" s="75"/>
      <c r="F1114" s="75"/>
      <c r="G1114" s="75"/>
      <c r="H1114" s="1"/>
      <c r="I1114" s="76"/>
      <c r="J1114" s="1"/>
      <c r="K1114" s="1"/>
      <c r="L1114" s="75"/>
      <c r="M1114" s="1"/>
      <c r="N1114" s="1"/>
      <c r="O1114" s="1"/>
      <c r="P1114" s="1"/>
      <c r="Q1114" s="1"/>
      <c r="R1114" s="1"/>
      <c r="S1114" s="1"/>
      <c r="T1114" s="75"/>
      <c r="U1114" s="1"/>
      <c r="V1114" s="1"/>
      <c r="W1114" s="1"/>
      <c r="X1114" s="1"/>
      <c r="Y1114" s="1"/>
      <c r="Z1114" s="75"/>
      <c r="AA1114" s="1"/>
      <c r="AB1114" s="1"/>
      <c r="AC1114" s="75"/>
      <c r="AD1114" s="75"/>
      <c r="AE1114" s="1"/>
      <c r="AF1114" s="1"/>
      <c r="AG1114" s="1"/>
    </row>
    <row r="1115">
      <c r="A1115" s="1"/>
      <c r="B1115" s="1"/>
      <c r="C1115" s="75"/>
      <c r="D1115" s="75"/>
      <c r="E1115" s="75"/>
      <c r="F1115" s="75"/>
      <c r="G1115" s="75"/>
      <c r="H1115" s="1"/>
      <c r="I1115" s="76"/>
      <c r="J1115" s="1"/>
      <c r="K1115" s="1"/>
      <c r="L1115" s="75"/>
      <c r="M1115" s="1"/>
      <c r="N1115" s="1"/>
      <c r="O1115" s="1"/>
      <c r="P1115" s="1"/>
      <c r="Q1115" s="1"/>
      <c r="R1115" s="1"/>
      <c r="S1115" s="1"/>
      <c r="T1115" s="75"/>
      <c r="U1115" s="1"/>
      <c r="V1115" s="1"/>
      <c r="W1115" s="1"/>
      <c r="X1115" s="1"/>
      <c r="Y1115" s="1"/>
      <c r="Z1115" s="75"/>
      <c r="AA1115" s="1"/>
      <c r="AB1115" s="1"/>
      <c r="AC1115" s="75"/>
      <c r="AD1115" s="75"/>
      <c r="AE1115" s="1"/>
      <c r="AF1115" s="1"/>
      <c r="AG1115" s="1"/>
    </row>
    <row r="1116">
      <c r="A1116" s="1"/>
      <c r="B1116" s="1"/>
      <c r="C1116" s="75"/>
      <c r="D1116" s="75"/>
      <c r="E1116" s="75"/>
      <c r="F1116" s="75"/>
      <c r="G1116" s="75"/>
      <c r="H1116" s="1"/>
      <c r="I1116" s="76"/>
      <c r="J1116" s="1"/>
      <c r="K1116" s="1"/>
      <c r="L1116" s="75"/>
      <c r="M1116" s="1"/>
      <c r="N1116" s="1"/>
      <c r="O1116" s="1"/>
      <c r="P1116" s="1"/>
      <c r="Q1116" s="1"/>
      <c r="R1116" s="1"/>
      <c r="S1116" s="1"/>
      <c r="T1116" s="75"/>
      <c r="U1116" s="1"/>
      <c r="V1116" s="1"/>
      <c r="W1116" s="1"/>
      <c r="X1116" s="1"/>
      <c r="Y1116" s="1"/>
      <c r="Z1116" s="75"/>
      <c r="AA1116" s="1"/>
      <c r="AB1116" s="1"/>
      <c r="AC1116" s="75"/>
      <c r="AD1116" s="75"/>
      <c r="AE1116" s="1"/>
      <c r="AF1116" s="1"/>
      <c r="AG1116" s="1"/>
    </row>
    <row r="1117">
      <c r="A1117" s="1"/>
      <c r="B1117" s="1"/>
      <c r="C1117" s="75"/>
      <c r="D1117" s="75"/>
      <c r="E1117" s="75"/>
      <c r="F1117" s="75"/>
      <c r="G1117" s="75"/>
      <c r="H1117" s="1"/>
      <c r="I1117" s="76"/>
      <c r="J1117" s="1"/>
      <c r="K1117" s="1"/>
      <c r="L1117" s="75"/>
      <c r="M1117" s="1"/>
      <c r="N1117" s="1"/>
      <c r="O1117" s="1"/>
      <c r="P1117" s="1"/>
      <c r="Q1117" s="1"/>
      <c r="R1117" s="1"/>
      <c r="S1117" s="1"/>
      <c r="T1117" s="75"/>
      <c r="U1117" s="1"/>
      <c r="V1117" s="1"/>
      <c r="W1117" s="1"/>
      <c r="X1117" s="1"/>
      <c r="Y1117" s="1"/>
      <c r="Z1117" s="75"/>
      <c r="AA1117" s="1"/>
      <c r="AB1117" s="1"/>
      <c r="AC1117" s="75"/>
      <c r="AD1117" s="75"/>
      <c r="AE1117" s="1"/>
      <c r="AF1117" s="1"/>
      <c r="AG1117" s="1"/>
    </row>
    <row r="1118">
      <c r="A1118" s="1"/>
      <c r="B1118" s="1"/>
      <c r="C1118" s="75"/>
      <c r="D1118" s="75"/>
      <c r="E1118" s="75"/>
      <c r="F1118" s="75"/>
      <c r="G1118" s="75"/>
      <c r="H1118" s="1"/>
      <c r="I1118" s="76"/>
      <c r="J1118" s="1"/>
      <c r="K1118" s="1"/>
      <c r="L1118" s="75"/>
      <c r="M1118" s="1"/>
      <c r="N1118" s="1"/>
      <c r="O1118" s="1"/>
      <c r="P1118" s="1"/>
      <c r="Q1118" s="1"/>
      <c r="R1118" s="1"/>
      <c r="S1118" s="1"/>
      <c r="T1118" s="75"/>
      <c r="U1118" s="1"/>
      <c r="V1118" s="1"/>
      <c r="W1118" s="1"/>
      <c r="X1118" s="1"/>
      <c r="Y1118" s="1"/>
      <c r="Z1118" s="75"/>
      <c r="AA1118" s="1"/>
      <c r="AB1118" s="1"/>
      <c r="AC1118" s="75"/>
      <c r="AD1118" s="75"/>
      <c r="AE1118" s="1"/>
      <c r="AF1118" s="1"/>
      <c r="AG1118" s="1"/>
    </row>
    <row r="1119">
      <c r="A1119" s="1"/>
      <c r="B1119" s="1"/>
      <c r="C1119" s="75"/>
      <c r="D1119" s="75"/>
      <c r="E1119" s="75"/>
      <c r="F1119" s="75"/>
      <c r="G1119" s="75"/>
      <c r="H1119" s="1"/>
      <c r="I1119" s="76"/>
      <c r="J1119" s="1"/>
      <c r="K1119" s="1"/>
      <c r="L1119" s="75"/>
      <c r="M1119" s="1"/>
      <c r="N1119" s="1"/>
      <c r="O1119" s="1"/>
      <c r="P1119" s="1"/>
      <c r="Q1119" s="1"/>
      <c r="R1119" s="1"/>
      <c r="S1119" s="1"/>
      <c r="T1119" s="75"/>
      <c r="U1119" s="1"/>
      <c r="V1119" s="1"/>
      <c r="W1119" s="1"/>
      <c r="X1119" s="1"/>
      <c r="Y1119" s="1"/>
      <c r="Z1119" s="75"/>
      <c r="AA1119" s="1"/>
      <c r="AB1119" s="1"/>
      <c r="AC1119" s="75"/>
      <c r="AD1119" s="75"/>
      <c r="AE1119" s="1"/>
      <c r="AF1119" s="1"/>
      <c r="AG1119" s="1"/>
    </row>
    <row r="1120">
      <c r="A1120" s="1"/>
      <c r="B1120" s="1"/>
      <c r="C1120" s="75"/>
      <c r="D1120" s="75"/>
      <c r="E1120" s="75"/>
      <c r="F1120" s="75"/>
      <c r="G1120" s="75"/>
      <c r="H1120" s="1"/>
      <c r="I1120" s="76"/>
      <c r="J1120" s="1"/>
      <c r="K1120" s="1"/>
      <c r="L1120" s="75"/>
      <c r="M1120" s="1"/>
      <c r="N1120" s="1"/>
      <c r="O1120" s="1"/>
      <c r="P1120" s="1"/>
      <c r="Q1120" s="1"/>
      <c r="R1120" s="1"/>
      <c r="S1120" s="1"/>
      <c r="T1120" s="75"/>
      <c r="U1120" s="1"/>
      <c r="V1120" s="1"/>
      <c r="W1120" s="1"/>
      <c r="X1120" s="1"/>
      <c r="Y1120" s="1"/>
      <c r="Z1120" s="75"/>
      <c r="AA1120" s="1"/>
      <c r="AB1120" s="1"/>
      <c r="AC1120" s="75"/>
      <c r="AD1120" s="75"/>
      <c r="AE1120" s="1"/>
      <c r="AF1120" s="1"/>
      <c r="AG1120" s="1"/>
    </row>
    <row r="1121">
      <c r="A1121" s="1"/>
      <c r="B1121" s="1"/>
      <c r="C1121" s="75"/>
      <c r="D1121" s="75"/>
      <c r="E1121" s="75"/>
      <c r="F1121" s="75"/>
      <c r="G1121" s="75"/>
      <c r="H1121" s="1"/>
      <c r="I1121" s="76"/>
      <c r="J1121" s="1"/>
      <c r="K1121" s="1"/>
      <c r="L1121" s="75"/>
      <c r="M1121" s="1"/>
      <c r="N1121" s="1"/>
      <c r="O1121" s="1"/>
      <c r="P1121" s="1"/>
      <c r="Q1121" s="1"/>
      <c r="R1121" s="1"/>
      <c r="S1121" s="1"/>
      <c r="T1121" s="75"/>
      <c r="U1121" s="1"/>
      <c r="V1121" s="1"/>
      <c r="W1121" s="1"/>
      <c r="X1121" s="1"/>
      <c r="Y1121" s="1"/>
      <c r="Z1121" s="75"/>
      <c r="AA1121" s="1"/>
      <c r="AB1121" s="1"/>
      <c r="AC1121" s="75"/>
      <c r="AD1121" s="75"/>
      <c r="AE1121" s="1"/>
      <c r="AF1121" s="1"/>
      <c r="AG1121" s="1"/>
    </row>
    <row r="1122">
      <c r="A1122" s="1"/>
      <c r="B1122" s="1"/>
      <c r="C1122" s="75"/>
      <c r="D1122" s="75"/>
      <c r="E1122" s="75"/>
      <c r="F1122" s="75"/>
      <c r="G1122" s="75"/>
      <c r="H1122" s="1"/>
      <c r="I1122" s="76"/>
      <c r="J1122" s="1"/>
      <c r="K1122" s="1"/>
      <c r="L1122" s="75"/>
      <c r="M1122" s="1"/>
      <c r="N1122" s="1"/>
      <c r="O1122" s="1"/>
      <c r="P1122" s="1"/>
      <c r="Q1122" s="1"/>
      <c r="R1122" s="1"/>
      <c r="S1122" s="1"/>
      <c r="T1122" s="75"/>
      <c r="U1122" s="1"/>
      <c r="V1122" s="1"/>
      <c r="W1122" s="1"/>
      <c r="X1122" s="1"/>
      <c r="Y1122" s="1"/>
      <c r="Z1122" s="75"/>
      <c r="AA1122" s="1"/>
      <c r="AB1122" s="1"/>
      <c r="AC1122" s="75"/>
      <c r="AD1122" s="75"/>
      <c r="AE1122" s="1"/>
      <c r="AF1122" s="1"/>
      <c r="AG1122" s="1"/>
    </row>
    <row r="1123">
      <c r="A1123" s="1"/>
      <c r="B1123" s="1"/>
      <c r="C1123" s="75"/>
      <c r="D1123" s="75"/>
      <c r="E1123" s="75"/>
      <c r="F1123" s="75"/>
      <c r="G1123" s="75"/>
      <c r="H1123" s="1"/>
      <c r="I1123" s="76"/>
      <c r="J1123" s="1"/>
      <c r="K1123" s="1"/>
      <c r="L1123" s="75"/>
      <c r="M1123" s="1"/>
      <c r="N1123" s="1"/>
      <c r="O1123" s="1"/>
      <c r="P1123" s="1"/>
      <c r="Q1123" s="1"/>
      <c r="R1123" s="1"/>
      <c r="S1123" s="1"/>
      <c r="T1123" s="75"/>
      <c r="U1123" s="1"/>
      <c r="V1123" s="1"/>
      <c r="W1123" s="1"/>
      <c r="X1123" s="1"/>
      <c r="Y1123" s="1"/>
      <c r="Z1123" s="75"/>
      <c r="AA1123" s="1"/>
      <c r="AB1123" s="1"/>
      <c r="AC1123" s="75"/>
      <c r="AD1123" s="75"/>
      <c r="AE1123" s="1"/>
      <c r="AF1123" s="1"/>
      <c r="AG1123" s="1"/>
    </row>
    <row r="1124">
      <c r="A1124" s="1"/>
      <c r="B1124" s="1"/>
      <c r="C1124" s="75"/>
      <c r="D1124" s="75"/>
      <c r="E1124" s="75"/>
      <c r="F1124" s="75"/>
      <c r="G1124" s="75"/>
      <c r="H1124" s="1"/>
      <c r="I1124" s="76"/>
      <c r="J1124" s="1"/>
      <c r="K1124" s="1"/>
      <c r="L1124" s="75"/>
      <c r="M1124" s="1"/>
      <c r="N1124" s="1"/>
      <c r="O1124" s="1"/>
      <c r="P1124" s="1"/>
      <c r="Q1124" s="1"/>
      <c r="R1124" s="1"/>
      <c r="S1124" s="1"/>
      <c r="T1124" s="75"/>
      <c r="U1124" s="1"/>
      <c r="V1124" s="1"/>
      <c r="W1124" s="1"/>
      <c r="X1124" s="1"/>
      <c r="Y1124" s="1"/>
      <c r="Z1124" s="75"/>
      <c r="AA1124" s="1"/>
      <c r="AB1124" s="1"/>
      <c r="AC1124" s="75"/>
      <c r="AD1124" s="75"/>
      <c r="AE1124" s="1"/>
      <c r="AF1124" s="1"/>
      <c r="AG1124" s="1"/>
    </row>
    <row r="1125">
      <c r="A1125" s="1"/>
      <c r="B1125" s="1"/>
      <c r="C1125" s="75"/>
      <c r="D1125" s="75"/>
      <c r="E1125" s="75"/>
      <c r="F1125" s="75"/>
      <c r="G1125" s="75"/>
      <c r="H1125" s="1"/>
      <c r="I1125" s="76"/>
      <c r="J1125" s="1"/>
      <c r="K1125" s="1"/>
      <c r="L1125" s="75"/>
      <c r="M1125" s="1"/>
      <c r="N1125" s="1"/>
      <c r="O1125" s="1"/>
      <c r="P1125" s="1"/>
      <c r="Q1125" s="1"/>
      <c r="R1125" s="1"/>
      <c r="S1125" s="1"/>
      <c r="T1125" s="75"/>
      <c r="U1125" s="1"/>
      <c r="V1125" s="1"/>
      <c r="W1125" s="1"/>
      <c r="X1125" s="1"/>
      <c r="Y1125" s="1"/>
      <c r="Z1125" s="75"/>
      <c r="AA1125" s="1"/>
      <c r="AB1125" s="1"/>
      <c r="AC1125" s="75"/>
      <c r="AD1125" s="75"/>
      <c r="AE1125" s="1"/>
      <c r="AF1125" s="1"/>
      <c r="AG1125" s="1"/>
    </row>
    <row r="1126">
      <c r="A1126" s="1"/>
      <c r="B1126" s="1"/>
      <c r="C1126" s="75"/>
      <c r="D1126" s="75"/>
      <c r="E1126" s="75"/>
      <c r="F1126" s="75"/>
      <c r="G1126" s="75"/>
      <c r="H1126" s="1"/>
      <c r="I1126" s="76"/>
      <c r="J1126" s="1"/>
      <c r="K1126" s="1"/>
      <c r="L1126" s="75"/>
      <c r="M1126" s="1"/>
      <c r="N1126" s="1"/>
      <c r="O1126" s="1"/>
      <c r="P1126" s="1"/>
      <c r="Q1126" s="1"/>
      <c r="R1126" s="1"/>
      <c r="S1126" s="1"/>
      <c r="T1126" s="75"/>
      <c r="U1126" s="1"/>
      <c r="V1126" s="1"/>
      <c r="W1126" s="1"/>
      <c r="X1126" s="1"/>
      <c r="Y1126" s="1"/>
      <c r="Z1126" s="75"/>
      <c r="AA1126" s="1"/>
      <c r="AB1126" s="1"/>
      <c r="AC1126" s="75"/>
      <c r="AD1126" s="75"/>
      <c r="AE1126" s="1"/>
      <c r="AF1126" s="1"/>
      <c r="AG1126" s="1"/>
    </row>
    <row r="1127">
      <c r="A1127" s="1"/>
      <c r="B1127" s="1"/>
      <c r="C1127" s="75"/>
      <c r="D1127" s="75"/>
      <c r="E1127" s="75"/>
      <c r="F1127" s="75"/>
      <c r="G1127" s="75"/>
      <c r="H1127" s="1"/>
      <c r="I1127" s="76"/>
      <c r="J1127" s="1"/>
      <c r="K1127" s="1"/>
      <c r="L1127" s="75"/>
      <c r="M1127" s="1"/>
      <c r="N1127" s="1"/>
      <c r="O1127" s="1"/>
      <c r="P1127" s="1"/>
      <c r="Q1127" s="1"/>
      <c r="R1127" s="1"/>
      <c r="S1127" s="1"/>
      <c r="T1127" s="75"/>
      <c r="U1127" s="1"/>
      <c r="V1127" s="1"/>
      <c r="W1127" s="1"/>
      <c r="X1127" s="1"/>
      <c r="Y1127" s="1"/>
      <c r="Z1127" s="75"/>
      <c r="AA1127" s="1"/>
      <c r="AB1127" s="1"/>
      <c r="AC1127" s="75"/>
      <c r="AD1127" s="75"/>
      <c r="AE1127" s="1"/>
      <c r="AF1127" s="1"/>
      <c r="AG1127" s="1"/>
    </row>
    <row r="1128">
      <c r="A1128" s="1"/>
      <c r="B1128" s="1"/>
      <c r="C1128" s="75"/>
      <c r="D1128" s="75"/>
      <c r="E1128" s="75"/>
      <c r="F1128" s="75"/>
      <c r="G1128" s="75"/>
      <c r="H1128" s="1"/>
      <c r="I1128" s="76"/>
      <c r="J1128" s="1"/>
      <c r="K1128" s="1"/>
      <c r="L1128" s="75"/>
      <c r="M1128" s="1"/>
      <c r="N1128" s="1"/>
      <c r="O1128" s="1"/>
      <c r="P1128" s="1"/>
      <c r="Q1128" s="1"/>
      <c r="R1128" s="1"/>
      <c r="S1128" s="1"/>
      <c r="T1128" s="75"/>
      <c r="U1128" s="1"/>
      <c r="V1128" s="1"/>
      <c r="W1128" s="1"/>
      <c r="X1128" s="1"/>
      <c r="Y1128" s="1"/>
      <c r="Z1128" s="75"/>
      <c r="AA1128" s="1"/>
      <c r="AB1128" s="1"/>
      <c r="AC1128" s="75"/>
      <c r="AD1128" s="75"/>
      <c r="AE1128" s="1"/>
      <c r="AF1128" s="1"/>
      <c r="AG1128" s="1"/>
    </row>
    <row r="1129">
      <c r="A1129" s="1"/>
      <c r="B1129" s="1"/>
      <c r="C1129" s="75"/>
      <c r="D1129" s="75"/>
      <c r="E1129" s="75"/>
      <c r="F1129" s="75"/>
      <c r="G1129" s="75"/>
      <c r="H1129" s="1"/>
      <c r="I1129" s="76"/>
      <c r="J1129" s="1"/>
      <c r="K1129" s="1"/>
      <c r="L1129" s="75"/>
      <c r="M1129" s="1"/>
      <c r="N1129" s="1"/>
      <c r="O1129" s="1"/>
      <c r="P1129" s="1"/>
      <c r="Q1129" s="1"/>
      <c r="R1129" s="1"/>
      <c r="S1129" s="1"/>
      <c r="T1129" s="75"/>
      <c r="U1129" s="1"/>
      <c r="V1129" s="1"/>
      <c r="W1129" s="1"/>
      <c r="X1129" s="1"/>
      <c r="Y1129" s="1"/>
      <c r="Z1129" s="75"/>
      <c r="AA1129" s="1"/>
      <c r="AB1129" s="1"/>
      <c r="AC1129" s="75"/>
      <c r="AD1129" s="75"/>
      <c r="AE1129" s="1"/>
      <c r="AF1129" s="1"/>
      <c r="AG1129" s="1"/>
    </row>
    <row r="1130">
      <c r="A1130" s="1"/>
      <c r="B1130" s="1"/>
      <c r="C1130" s="75"/>
      <c r="D1130" s="75"/>
      <c r="E1130" s="75"/>
      <c r="F1130" s="75"/>
      <c r="G1130" s="75"/>
      <c r="H1130" s="1"/>
      <c r="I1130" s="76"/>
      <c r="J1130" s="1"/>
      <c r="K1130" s="1"/>
      <c r="L1130" s="75"/>
      <c r="M1130" s="1"/>
      <c r="N1130" s="1"/>
      <c r="O1130" s="1"/>
      <c r="P1130" s="1"/>
      <c r="Q1130" s="1"/>
      <c r="R1130" s="1"/>
      <c r="S1130" s="1"/>
      <c r="T1130" s="75"/>
      <c r="U1130" s="1"/>
      <c r="V1130" s="1"/>
      <c r="W1130" s="1"/>
      <c r="X1130" s="1"/>
      <c r="Y1130" s="1"/>
      <c r="Z1130" s="75"/>
      <c r="AA1130" s="1"/>
      <c r="AB1130" s="1"/>
      <c r="AC1130" s="75"/>
      <c r="AD1130" s="75"/>
      <c r="AE1130" s="1"/>
      <c r="AF1130" s="1"/>
      <c r="AG1130" s="1"/>
    </row>
    <row r="1131">
      <c r="A1131" s="1"/>
      <c r="B1131" s="1"/>
      <c r="C1131" s="75"/>
      <c r="D1131" s="75"/>
      <c r="E1131" s="75"/>
      <c r="F1131" s="75"/>
      <c r="G1131" s="75"/>
      <c r="H1131" s="1"/>
      <c r="I1131" s="76"/>
      <c r="J1131" s="1"/>
      <c r="K1131" s="1"/>
      <c r="L1131" s="75"/>
      <c r="M1131" s="1"/>
      <c r="N1131" s="1"/>
      <c r="O1131" s="1"/>
      <c r="P1131" s="1"/>
      <c r="Q1131" s="1"/>
      <c r="R1131" s="1"/>
      <c r="S1131" s="1"/>
      <c r="T1131" s="75"/>
      <c r="U1131" s="1"/>
      <c r="V1131" s="1"/>
      <c r="W1131" s="1"/>
      <c r="X1131" s="1"/>
      <c r="Y1131" s="1"/>
      <c r="Z1131" s="75"/>
      <c r="AA1131" s="1"/>
      <c r="AB1131" s="1"/>
      <c r="AC1131" s="75"/>
      <c r="AD1131" s="75"/>
      <c r="AE1131" s="1"/>
      <c r="AF1131" s="1"/>
      <c r="AG1131" s="1"/>
    </row>
    <row r="1132">
      <c r="A1132" s="1"/>
      <c r="B1132" s="1"/>
      <c r="C1132" s="75"/>
      <c r="D1132" s="75"/>
      <c r="E1132" s="75"/>
      <c r="F1132" s="75"/>
      <c r="G1132" s="75"/>
      <c r="H1132" s="1"/>
      <c r="I1132" s="76"/>
      <c r="J1132" s="1"/>
      <c r="K1132" s="1"/>
      <c r="L1132" s="75"/>
      <c r="M1132" s="1"/>
      <c r="N1132" s="1"/>
      <c r="O1132" s="1"/>
      <c r="P1132" s="1"/>
      <c r="Q1132" s="1"/>
      <c r="R1132" s="1"/>
      <c r="S1132" s="1"/>
      <c r="T1132" s="75"/>
      <c r="U1132" s="1"/>
      <c r="V1132" s="1"/>
      <c r="W1132" s="1"/>
      <c r="X1132" s="1"/>
      <c r="Y1132" s="1"/>
      <c r="Z1132" s="75"/>
      <c r="AA1132" s="1"/>
      <c r="AB1132" s="1"/>
      <c r="AC1132" s="75"/>
      <c r="AD1132" s="75"/>
      <c r="AE1132" s="1"/>
      <c r="AF1132" s="1"/>
      <c r="AG1132" s="1"/>
    </row>
    <row r="1133">
      <c r="A1133" s="1"/>
      <c r="B1133" s="1"/>
      <c r="C1133" s="75"/>
      <c r="D1133" s="75"/>
      <c r="E1133" s="75"/>
      <c r="F1133" s="75"/>
      <c r="G1133" s="75"/>
      <c r="H1133" s="1"/>
      <c r="I1133" s="76"/>
      <c r="J1133" s="1"/>
      <c r="K1133" s="1"/>
      <c r="L1133" s="75"/>
      <c r="M1133" s="1"/>
      <c r="N1133" s="1"/>
      <c r="O1133" s="1"/>
      <c r="P1133" s="1"/>
      <c r="Q1133" s="1"/>
      <c r="R1133" s="1"/>
      <c r="S1133" s="1"/>
      <c r="T1133" s="75"/>
      <c r="U1133" s="1"/>
      <c r="V1133" s="1"/>
      <c r="W1133" s="1"/>
      <c r="X1133" s="1"/>
      <c r="Y1133" s="1"/>
      <c r="Z1133" s="75"/>
      <c r="AA1133" s="1"/>
      <c r="AB1133" s="1"/>
      <c r="AC1133" s="75"/>
      <c r="AD1133" s="75"/>
      <c r="AE1133" s="1"/>
      <c r="AF1133" s="1"/>
      <c r="AG1133" s="1"/>
    </row>
    <row r="1134">
      <c r="A1134" s="1"/>
      <c r="B1134" s="1"/>
      <c r="C1134" s="75"/>
      <c r="D1134" s="75"/>
      <c r="E1134" s="75"/>
      <c r="F1134" s="75"/>
      <c r="G1134" s="75"/>
      <c r="H1134" s="1"/>
      <c r="I1134" s="76"/>
      <c r="J1134" s="1"/>
      <c r="K1134" s="1"/>
      <c r="L1134" s="75"/>
      <c r="M1134" s="1"/>
      <c r="N1134" s="1"/>
      <c r="O1134" s="1"/>
      <c r="P1134" s="1"/>
      <c r="Q1134" s="1"/>
      <c r="R1134" s="1"/>
      <c r="S1134" s="1"/>
      <c r="T1134" s="75"/>
      <c r="U1134" s="1"/>
      <c r="V1134" s="1"/>
      <c r="W1134" s="1"/>
      <c r="X1134" s="1"/>
      <c r="Y1134" s="1"/>
      <c r="Z1134" s="75"/>
      <c r="AA1134" s="1"/>
      <c r="AB1134" s="1"/>
      <c r="AC1134" s="75"/>
      <c r="AD1134" s="75"/>
      <c r="AE1134" s="1"/>
      <c r="AF1134" s="1"/>
      <c r="AG1134" s="1"/>
    </row>
    <row r="1135">
      <c r="A1135" s="1"/>
      <c r="B1135" s="1"/>
      <c r="C1135" s="75"/>
      <c r="D1135" s="75"/>
      <c r="E1135" s="75"/>
      <c r="F1135" s="75"/>
      <c r="G1135" s="75"/>
      <c r="H1135" s="1"/>
      <c r="I1135" s="76"/>
      <c r="J1135" s="1"/>
      <c r="K1135" s="1"/>
      <c r="L1135" s="75"/>
      <c r="M1135" s="1"/>
      <c r="N1135" s="1"/>
      <c r="O1135" s="1"/>
      <c r="P1135" s="1"/>
      <c r="Q1135" s="1"/>
      <c r="R1135" s="1"/>
      <c r="S1135" s="1"/>
      <c r="T1135" s="75"/>
      <c r="U1135" s="1"/>
      <c r="V1135" s="1"/>
      <c r="W1135" s="1"/>
      <c r="X1135" s="1"/>
      <c r="Y1135" s="1"/>
      <c r="Z1135" s="75"/>
      <c r="AA1135" s="1"/>
      <c r="AB1135" s="1"/>
      <c r="AC1135" s="75"/>
      <c r="AD1135" s="75"/>
      <c r="AE1135" s="1"/>
      <c r="AF1135" s="1"/>
      <c r="AG1135" s="1"/>
    </row>
    <row r="1136">
      <c r="A1136" s="1"/>
      <c r="B1136" s="1"/>
      <c r="C1136" s="1"/>
      <c r="D1136" s="75"/>
      <c r="E1136" s="75"/>
      <c r="F1136" s="75"/>
      <c r="G1136" s="75"/>
      <c r="H1136" s="1"/>
      <c r="I1136" s="76"/>
      <c r="J1136" s="1"/>
      <c r="K1136" s="1"/>
      <c r="L1136" s="75"/>
      <c r="M1136" s="1"/>
      <c r="N1136" s="1"/>
      <c r="O1136" s="1"/>
      <c r="P1136" s="1"/>
      <c r="Q1136" s="1"/>
      <c r="R1136" s="1"/>
      <c r="S1136" s="1"/>
      <c r="T1136" s="75"/>
      <c r="U1136" s="1"/>
      <c r="V1136" s="1"/>
      <c r="W1136" s="1"/>
      <c r="X1136" s="1"/>
      <c r="Y1136" s="1"/>
      <c r="Z1136" s="75"/>
      <c r="AA1136" s="1"/>
      <c r="AB1136" s="1"/>
      <c r="AC1136" s="75"/>
      <c r="AD1136" s="75"/>
      <c r="AE1136" s="1"/>
      <c r="AF1136" s="1"/>
      <c r="AG1136" s="1"/>
    </row>
    <row r="1137">
      <c r="A1137" s="1"/>
      <c r="B1137" s="1"/>
      <c r="C1137" s="1"/>
      <c r="D1137" s="75"/>
      <c r="E1137" s="75"/>
      <c r="F1137" s="75"/>
      <c r="G1137" s="75"/>
      <c r="H1137" s="1"/>
      <c r="I1137" s="76"/>
      <c r="J1137" s="1"/>
      <c r="K1137" s="1"/>
      <c r="L1137" s="75"/>
      <c r="M1137" s="1"/>
      <c r="N1137" s="1"/>
      <c r="O1137" s="1"/>
      <c r="P1137" s="1"/>
      <c r="Q1137" s="1"/>
      <c r="R1137" s="1"/>
      <c r="S1137" s="1"/>
      <c r="T1137" s="75"/>
      <c r="U1137" s="1"/>
      <c r="V1137" s="1"/>
      <c r="W1137" s="1"/>
      <c r="X1137" s="1"/>
      <c r="Y1137" s="1"/>
      <c r="Z1137" s="75"/>
      <c r="AA1137" s="1"/>
      <c r="AB1137" s="1"/>
      <c r="AC1137" s="75"/>
      <c r="AD1137" s="75"/>
      <c r="AE1137" s="1"/>
      <c r="AF1137" s="1"/>
      <c r="AG1137" s="1"/>
    </row>
    <row r="1138">
      <c r="A1138" s="1"/>
      <c r="B1138" s="1"/>
      <c r="C1138" s="1"/>
      <c r="D1138" s="75"/>
      <c r="E1138" s="75"/>
      <c r="F1138" s="75"/>
      <c r="G1138" s="75"/>
      <c r="H1138" s="1"/>
      <c r="I1138" s="76"/>
      <c r="J1138" s="1"/>
      <c r="K1138" s="1"/>
      <c r="L1138" s="75"/>
      <c r="M1138" s="1"/>
      <c r="N1138" s="1"/>
      <c r="O1138" s="1"/>
      <c r="P1138" s="1"/>
      <c r="Q1138" s="1"/>
      <c r="R1138" s="1"/>
      <c r="S1138" s="1"/>
      <c r="T1138" s="75"/>
      <c r="U1138" s="1"/>
      <c r="V1138" s="1"/>
      <c r="W1138" s="1"/>
      <c r="X1138" s="1"/>
      <c r="Y1138" s="1"/>
      <c r="Z1138" s="75"/>
      <c r="AA1138" s="1"/>
      <c r="AB1138" s="1"/>
      <c r="AC1138" s="75"/>
      <c r="AD1138" s="75"/>
      <c r="AE1138" s="1"/>
      <c r="AF1138" s="1"/>
      <c r="AG1138" s="1"/>
    </row>
    <row r="1139">
      <c r="A1139" s="1"/>
      <c r="B1139" s="1"/>
      <c r="C1139" s="1"/>
      <c r="D1139" s="75"/>
      <c r="E1139" s="75"/>
      <c r="F1139" s="75"/>
      <c r="G1139" s="75"/>
      <c r="H1139" s="1"/>
      <c r="I1139" s="76"/>
      <c r="J1139" s="1"/>
      <c r="K1139" s="1"/>
      <c r="L1139" s="75"/>
      <c r="M1139" s="1"/>
      <c r="N1139" s="1"/>
      <c r="O1139" s="1"/>
      <c r="P1139" s="1"/>
      <c r="Q1139" s="1"/>
      <c r="R1139" s="1"/>
      <c r="S1139" s="1"/>
      <c r="T1139" s="75"/>
      <c r="U1139" s="1"/>
      <c r="V1139" s="1"/>
      <c r="W1139" s="1"/>
      <c r="X1139" s="1"/>
      <c r="Y1139" s="1"/>
      <c r="Z1139" s="75"/>
      <c r="AA1139" s="1"/>
      <c r="AB1139" s="1"/>
      <c r="AC1139" s="75"/>
      <c r="AD1139" s="75"/>
      <c r="AE1139" s="1"/>
      <c r="AF1139" s="1"/>
      <c r="AG1139" s="1"/>
    </row>
    <row r="1140">
      <c r="A1140" s="1"/>
      <c r="B1140" s="1"/>
      <c r="C1140" s="1"/>
      <c r="D1140" s="75"/>
      <c r="E1140" s="75"/>
      <c r="F1140" s="75"/>
      <c r="G1140" s="75"/>
      <c r="H1140" s="1"/>
      <c r="I1140" s="76"/>
      <c r="J1140" s="1"/>
      <c r="K1140" s="1"/>
      <c r="L1140" s="75"/>
      <c r="M1140" s="1"/>
      <c r="N1140" s="1"/>
      <c r="O1140" s="1"/>
      <c r="P1140" s="1"/>
      <c r="Q1140" s="1"/>
      <c r="R1140" s="1"/>
      <c r="S1140" s="1"/>
      <c r="T1140" s="75"/>
      <c r="U1140" s="1"/>
      <c r="V1140" s="1"/>
      <c r="W1140" s="1"/>
      <c r="X1140" s="1"/>
      <c r="Y1140" s="1"/>
      <c r="Z1140" s="75"/>
      <c r="AA1140" s="1"/>
      <c r="AB1140" s="1"/>
      <c r="AC1140" s="75"/>
      <c r="AD1140" s="75"/>
      <c r="AE1140" s="1"/>
      <c r="AF1140" s="1"/>
      <c r="AG1140" s="1"/>
    </row>
    <row r="1141">
      <c r="A1141" s="1"/>
      <c r="B1141" s="1"/>
      <c r="C1141" s="1"/>
      <c r="D1141" s="75"/>
      <c r="E1141" s="75"/>
      <c r="F1141" s="75"/>
      <c r="G1141" s="75"/>
      <c r="H1141" s="1"/>
      <c r="I1141" s="76"/>
      <c r="J1141" s="1"/>
      <c r="K1141" s="1"/>
      <c r="L1141" s="75"/>
      <c r="M1141" s="1"/>
      <c r="N1141" s="1"/>
      <c r="O1141" s="1"/>
      <c r="P1141" s="1"/>
      <c r="Q1141" s="1"/>
      <c r="R1141" s="1"/>
      <c r="S1141" s="1"/>
      <c r="T1141" s="75"/>
      <c r="U1141" s="1"/>
      <c r="V1141" s="1"/>
      <c r="W1141" s="1"/>
      <c r="X1141" s="1"/>
      <c r="Y1141" s="1"/>
      <c r="Z1141" s="75"/>
      <c r="AA1141" s="1"/>
      <c r="AB1141" s="1"/>
      <c r="AC1141" s="75"/>
      <c r="AD1141" s="75"/>
      <c r="AE1141" s="1"/>
      <c r="AF1141" s="1"/>
      <c r="AG1141" s="1"/>
    </row>
    <row r="1142">
      <c r="A1142" s="1"/>
      <c r="B1142" s="1"/>
      <c r="C1142" s="1"/>
      <c r="D1142" s="75"/>
      <c r="E1142" s="75"/>
      <c r="F1142" s="75"/>
      <c r="G1142" s="75"/>
      <c r="H1142" s="1"/>
      <c r="I1142" s="76"/>
      <c r="J1142" s="1"/>
      <c r="K1142" s="1"/>
      <c r="L1142" s="75"/>
      <c r="M1142" s="1"/>
      <c r="N1142" s="1"/>
      <c r="O1142" s="1"/>
      <c r="P1142" s="1"/>
      <c r="Q1142" s="1"/>
      <c r="R1142" s="1"/>
      <c r="S1142" s="1"/>
      <c r="T1142" s="75"/>
      <c r="U1142" s="1"/>
      <c r="V1142" s="1"/>
      <c r="W1142" s="1"/>
      <c r="X1142" s="1"/>
      <c r="Y1142" s="1"/>
      <c r="Z1142" s="75"/>
      <c r="AA1142" s="1"/>
      <c r="AB1142" s="1"/>
      <c r="AC1142" s="75"/>
      <c r="AD1142" s="75"/>
      <c r="AE1142" s="1"/>
      <c r="AF1142" s="1"/>
      <c r="AG1142" s="1"/>
    </row>
    <row r="1143">
      <c r="A1143" s="1"/>
      <c r="B1143" s="1"/>
      <c r="C1143" s="1"/>
      <c r="D1143" s="75"/>
      <c r="E1143" s="75"/>
      <c r="F1143" s="75"/>
      <c r="G1143" s="75"/>
      <c r="H1143" s="1"/>
      <c r="I1143" s="76"/>
      <c r="J1143" s="1"/>
      <c r="K1143" s="1"/>
      <c r="L1143" s="75"/>
      <c r="M1143" s="1"/>
      <c r="N1143" s="1"/>
      <c r="O1143" s="1"/>
      <c r="P1143" s="1"/>
      <c r="Q1143" s="1"/>
      <c r="R1143" s="1"/>
      <c r="S1143" s="1"/>
      <c r="T1143" s="75"/>
      <c r="U1143" s="1"/>
      <c r="V1143" s="1"/>
      <c r="W1143" s="1"/>
      <c r="X1143" s="1"/>
      <c r="Y1143" s="1"/>
      <c r="Z1143" s="75"/>
      <c r="AA1143" s="1"/>
      <c r="AB1143" s="1"/>
      <c r="AC1143" s="75"/>
      <c r="AD1143" s="75"/>
      <c r="AE1143" s="1"/>
      <c r="AF1143" s="1"/>
      <c r="AG1143" s="1"/>
    </row>
    <row r="1144">
      <c r="A1144" s="1"/>
      <c r="B1144" s="1"/>
      <c r="C1144" s="1"/>
      <c r="D1144" s="75"/>
      <c r="E1144" s="75"/>
      <c r="F1144" s="75"/>
      <c r="G1144" s="75"/>
      <c r="H1144" s="1"/>
      <c r="I1144" s="76"/>
      <c r="J1144" s="1"/>
      <c r="K1144" s="1"/>
      <c r="L1144" s="75"/>
      <c r="M1144" s="1"/>
      <c r="N1144" s="1"/>
      <c r="O1144" s="1"/>
      <c r="P1144" s="1"/>
      <c r="Q1144" s="1"/>
      <c r="R1144" s="1"/>
      <c r="S1144" s="1"/>
      <c r="T1144" s="75"/>
      <c r="U1144" s="1"/>
      <c r="V1144" s="1"/>
      <c r="W1144" s="1"/>
      <c r="X1144" s="1"/>
      <c r="Y1144" s="1"/>
      <c r="Z1144" s="75"/>
      <c r="AA1144" s="1"/>
      <c r="AB1144" s="1"/>
      <c r="AC1144" s="75"/>
      <c r="AD1144" s="75"/>
      <c r="AE1144" s="1"/>
      <c r="AF1144" s="1"/>
      <c r="AG1144" s="1"/>
    </row>
    <row r="1145">
      <c r="A1145" s="1"/>
      <c r="B1145" s="1"/>
      <c r="C1145" s="1"/>
      <c r="D1145" s="75"/>
      <c r="E1145" s="75"/>
      <c r="F1145" s="75"/>
      <c r="G1145" s="75"/>
      <c r="H1145" s="1"/>
      <c r="I1145" s="76"/>
      <c r="J1145" s="1"/>
      <c r="K1145" s="1"/>
      <c r="L1145" s="75"/>
      <c r="M1145" s="1"/>
      <c r="N1145" s="1"/>
      <c r="O1145" s="1"/>
      <c r="P1145" s="1"/>
      <c r="Q1145" s="1"/>
      <c r="R1145" s="1"/>
      <c r="S1145" s="1"/>
      <c r="T1145" s="75"/>
      <c r="U1145" s="1"/>
      <c r="V1145" s="1"/>
      <c r="W1145" s="1"/>
      <c r="X1145" s="1"/>
      <c r="Y1145" s="1"/>
      <c r="Z1145" s="75"/>
      <c r="AA1145" s="1"/>
      <c r="AB1145" s="1"/>
      <c r="AC1145" s="75"/>
      <c r="AD1145" s="75"/>
      <c r="AE1145" s="1"/>
      <c r="AF1145" s="1"/>
      <c r="AG1145" s="1"/>
    </row>
    <row r="1146">
      <c r="A1146" s="1"/>
      <c r="B1146" s="1"/>
      <c r="C1146" s="1"/>
      <c r="D1146" s="75"/>
      <c r="E1146" s="75"/>
      <c r="F1146" s="75"/>
      <c r="G1146" s="75"/>
      <c r="H1146" s="1"/>
      <c r="I1146" s="76"/>
      <c r="J1146" s="1"/>
      <c r="K1146" s="1"/>
      <c r="L1146" s="75"/>
      <c r="M1146" s="1"/>
      <c r="N1146" s="1"/>
      <c r="O1146" s="1"/>
      <c r="P1146" s="1"/>
      <c r="Q1146" s="1"/>
      <c r="R1146" s="1"/>
      <c r="S1146" s="1"/>
      <c r="T1146" s="75"/>
      <c r="U1146" s="1"/>
      <c r="V1146" s="1"/>
      <c r="W1146" s="1"/>
      <c r="X1146" s="1"/>
      <c r="Y1146" s="1"/>
      <c r="Z1146" s="75"/>
      <c r="AA1146" s="1"/>
      <c r="AB1146" s="1"/>
      <c r="AC1146" s="75"/>
      <c r="AD1146" s="75"/>
      <c r="AE1146" s="1"/>
      <c r="AF1146" s="1"/>
      <c r="AG1146" s="1"/>
    </row>
    <row r="1147">
      <c r="A1147" s="1"/>
      <c r="B1147" s="1"/>
      <c r="C1147" s="1"/>
      <c r="D1147" s="75"/>
      <c r="E1147" s="75"/>
      <c r="F1147" s="75"/>
      <c r="G1147" s="75"/>
      <c r="H1147" s="1"/>
      <c r="I1147" s="76"/>
      <c r="J1147" s="1"/>
      <c r="K1147" s="1"/>
      <c r="L1147" s="75"/>
      <c r="M1147" s="1"/>
      <c r="N1147" s="1"/>
      <c r="O1147" s="1"/>
      <c r="P1147" s="1"/>
      <c r="Q1147" s="1"/>
      <c r="R1147" s="1"/>
      <c r="S1147" s="1"/>
      <c r="T1147" s="75"/>
      <c r="U1147" s="1"/>
      <c r="V1147" s="1"/>
      <c r="W1147" s="1"/>
      <c r="X1147" s="1"/>
      <c r="Y1147" s="1"/>
      <c r="Z1147" s="75"/>
      <c r="AA1147" s="1"/>
      <c r="AB1147" s="1"/>
      <c r="AC1147" s="75"/>
      <c r="AD1147" s="75"/>
      <c r="AE1147" s="1"/>
      <c r="AF1147" s="1"/>
      <c r="AG1147" s="1"/>
    </row>
    <row r="1148">
      <c r="A1148" s="1"/>
      <c r="B1148" s="1"/>
      <c r="C1148" s="1"/>
      <c r="D1148" s="75"/>
      <c r="E1148" s="75"/>
      <c r="F1148" s="75"/>
      <c r="G1148" s="75"/>
      <c r="H1148" s="1"/>
      <c r="I1148" s="76"/>
      <c r="J1148" s="1"/>
      <c r="K1148" s="1"/>
      <c r="L1148" s="75"/>
      <c r="M1148" s="1"/>
      <c r="N1148" s="1"/>
      <c r="O1148" s="1"/>
      <c r="P1148" s="1"/>
      <c r="Q1148" s="1"/>
      <c r="R1148" s="1"/>
      <c r="S1148" s="1"/>
      <c r="T1148" s="75"/>
      <c r="U1148" s="1"/>
      <c r="V1148" s="1"/>
      <c r="W1148" s="1"/>
      <c r="X1148" s="1"/>
      <c r="Y1148" s="1"/>
      <c r="Z1148" s="75"/>
      <c r="AA1148" s="1"/>
      <c r="AB1148" s="1"/>
      <c r="AC1148" s="75"/>
      <c r="AD1148" s="75"/>
      <c r="AE1148" s="1"/>
      <c r="AF1148" s="1"/>
      <c r="AG1148" s="1"/>
    </row>
    <row r="1149">
      <c r="A1149" s="1"/>
      <c r="B1149" s="1"/>
      <c r="C1149" s="1"/>
      <c r="D1149" s="75"/>
      <c r="E1149" s="75"/>
      <c r="F1149" s="75"/>
      <c r="G1149" s="75"/>
      <c r="H1149" s="1"/>
      <c r="I1149" s="76"/>
      <c r="J1149" s="1"/>
      <c r="K1149" s="1"/>
      <c r="L1149" s="75"/>
      <c r="M1149" s="1"/>
      <c r="N1149" s="1"/>
      <c r="O1149" s="1"/>
      <c r="P1149" s="1"/>
      <c r="Q1149" s="1"/>
      <c r="R1149" s="1"/>
      <c r="S1149" s="1"/>
      <c r="T1149" s="75"/>
      <c r="U1149" s="1"/>
      <c r="V1149" s="1"/>
      <c r="W1149" s="1"/>
      <c r="X1149" s="1"/>
      <c r="Y1149" s="1"/>
      <c r="Z1149" s="75"/>
      <c r="AA1149" s="1"/>
      <c r="AB1149" s="1"/>
      <c r="AC1149" s="75"/>
      <c r="AD1149" s="75"/>
      <c r="AE1149" s="1"/>
      <c r="AF1149" s="1"/>
      <c r="AG1149" s="1"/>
    </row>
    <row r="1150">
      <c r="A1150" s="1"/>
      <c r="B1150" s="1"/>
      <c r="C1150" s="1"/>
      <c r="D1150" s="75"/>
      <c r="E1150" s="75"/>
      <c r="F1150" s="75"/>
      <c r="G1150" s="75"/>
      <c r="H1150" s="1"/>
      <c r="I1150" s="76"/>
      <c r="J1150" s="1"/>
      <c r="K1150" s="1"/>
      <c r="L1150" s="75"/>
      <c r="M1150" s="1"/>
      <c r="N1150" s="1"/>
      <c r="O1150" s="1"/>
      <c r="P1150" s="1"/>
      <c r="Q1150" s="1"/>
      <c r="R1150" s="1"/>
      <c r="S1150" s="1"/>
      <c r="T1150" s="75"/>
      <c r="U1150" s="1"/>
      <c r="V1150" s="1"/>
      <c r="W1150" s="1"/>
      <c r="X1150" s="1"/>
      <c r="Y1150" s="1"/>
      <c r="Z1150" s="75"/>
      <c r="AA1150" s="1"/>
      <c r="AB1150" s="1"/>
      <c r="AC1150" s="75"/>
      <c r="AD1150" s="75"/>
      <c r="AE1150" s="1"/>
      <c r="AF1150" s="1"/>
      <c r="AG1150" s="1"/>
    </row>
    <row r="1151">
      <c r="A1151" s="1"/>
      <c r="B1151" s="1"/>
      <c r="C1151" s="1"/>
      <c r="D1151" s="75"/>
      <c r="E1151" s="75"/>
      <c r="F1151" s="75"/>
      <c r="G1151" s="75"/>
      <c r="H1151" s="1"/>
      <c r="I1151" s="76"/>
      <c r="J1151" s="1"/>
      <c r="K1151" s="1"/>
      <c r="L1151" s="75"/>
      <c r="M1151" s="1"/>
      <c r="N1151" s="1"/>
      <c r="O1151" s="1"/>
      <c r="P1151" s="1"/>
      <c r="Q1151" s="1"/>
      <c r="R1151" s="1"/>
      <c r="S1151" s="1"/>
      <c r="T1151" s="75"/>
      <c r="U1151" s="1"/>
      <c r="V1151" s="1"/>
      <c r="W1151" s="1"/>
      <c r="X1151" s="1"/>
      <c r="Y1151" s="1"/>
      <c r="Z1151" s="75"/>
      <c r="AA1151" s="1"/>
      <c r="AB1151" s="1"/>
      <c r="AC1151" s="75"/>
      <c r="AD1151" s="75"/>
      <c r="AE1151" s="1"/>
      <c r="AF1151" s="1"/>
      <c r="AG1151" s="1"/>
    </row>
    <row r="1152">
      <c r="A1152" s="1"/>
      <c r="B1152" s="1"/>
      <c r="C1152" s="1"/>
      <c r="D1152" s="75"/>
      <c r="E1152" s="75"/>
      <c r="F1152" s="75"/>
      <c r="G1152" s="75"/>
      <c r="H1152" s="1"/>
      <c r="I1152" s="76"/>
      <c r="J1152" s="1"/>
      <c r="K1152" s="1"/>
      <c r="L1152" s="75"/>
      <c r="M1152" s="1"/>
      <c r="N1152" s="1"/>
      <c r="O1152" s="1"/>
      <c r="P1152" s="1"/>
      <c r="Q1152" s="1"/>
      <c r="R1152" s="1"/>
      <c r="S1152" s="1"/>
      <c r="T1152" s="75"/>
      <c r="U1152" s="1"/>
      <c r="V1152" s="1"/>
      <c r="W1152" s="1"/>
      <c r="X1152" s="1"/>
      <c r="Y1152" s="1"/>
      <c r="Z1152" s="75"/>
      <c r="AA1152" s="1"/>
      <c r="AB1152" s="1"/>
      <c r="AC1152" s="75"/>
      <c r="AD1152" s="75"/>
      <c r="AE1152" s="1"/>
      <c r="AF1152" s="1"/>
      <c r="AG1152" s="1"/>
    </row>
    <row r="1153">
      <c r="A1153" s="1"/>
      <c r="B1153" s="1"/>
      <c r="C1153" s="1"/>
      <c r="D1153" s="75"/>
      <c r="E1153" s="75"/>
      <c r="F1153" s="75"/>
      <c r="G1153" s="75"/>
      <c r="H1153" s="1"/>
      <c r="I1153" s="76"/>
      <c r="J1153" s="1"/>
      <c r="K1153" s="1"/>
      <c r="L1153" s="75"/>
      <c r="M1153" s="1"/>
      <c r="N1153" s="1"/>
      <c r="O1153" s="1"/>
      <c r="P1153" s="1"/>
      <c r="Q1153" s="1"/>
      <c r="R1153" s="1"/>
      <c r="S1153" s="1"/>
      <c r="T1153" s="75"/>
      <c r="U1153" s="1"/>
      <c r="V1153" s="1"/>
      <c r="W1153" s="1"/>
      <c r="X1153" s="1"/>
      <c r="Y1153" s="1"/>
      <c r="Z1153" s="75"/>
      <c r="AA1153" s="1"/>
      <c r="AB1153" s="1"/>
      <c r="AC1153" s="75"/>
      <c r="AD1153" s="75"/>
      <c r="AE1153" s="1"/>
      <c r="AF1153" s="1"/>
      <c r="AG1153" s="1"/>
    </row>
    <row r="1154">
      <c r="A1154" s="1"/>
      <c r="B1154" s="1"/>
      <c r="C1154" s="1"/>
      <c r="D1154" s="75"/>
      <c r="E1154" s="75"/>
      <c r="F1154" s="75"/>
      <c r="G1154" s="75"/>
      <c r="H1154" s="1"/>
      <c r="I1154" s="76"/>
      <c r="J1154" s="1"/>
      <c r="K1154" s="1"/>
      <c r="L1154" s="75"/>
      <c r="M1154" s="1"/>
      <c r="N1154" s="1"/>
      <c r="O1154" s="1"/>
      <c r="P1154" s="1"/>
      <c r="Q1154" s="1"/>
      <c r="R1154" s="1"/>
      <c r="S1154" s="1"/>
      <c r="T1154" s="75"/>
      <c r="U1154" s="1"/>
      <c r="V1154" s="1"/>
      <c r="W1154" s="1"/>
      <c r="X1154" s="1"/>
      <c r="Y1154" s="1"/>
      <c r="Z1154" s="75"/>
      <c r="AA1154" s="1"/>
      <c r="AB1154" s="1"/>
      <c r="AC1154" s="75"/>
      <c r="AD1154" s="75"/>
      <c r="AE1154" s="1"/>
      <c r="AF1154" s="1"/>
      <c r="AG1154" s="1"/>
    </row>
    <row r="1155">
      <c r="A1155" s="1"/>
      <c r="D1155" s="75"/>
      <c r="E1155" s="75"/>
      <c r="F1155" s="75"/>
      <c r="G1155" s="75"/>
      <c r="H1155" s="1"/>
      <c r="I1155" s="76"/>
      <c r="J1155" s="1"/>
      <c r="K1155" s="1"/>
      <c r="L1155" s="75"/>
      <c r="M1155" s="1"/>
      <c r="N1155" s="1"/>
      <c r="O1155" s="1"/>
      <c r="P1155" s="1"/>
      <c r="Q1155" s="1"/>
      <c r="R1155" s="1"/>
      <c r="S1155" s="1"/>
      <c r="T1155" s="75"/>
      <c r="U1155" s="1"/>
      <c r="V1155" s="1"/>
      <c r="W1155" s="1"/>
      <c r="X1155" s="1"/>
      <c r="Y1155" s="1"/>
      <c r="Z1155" s="75"/>
      <c r="AA1155" s="1"/>
      <c r="AB1155" s="1"/>
      <c r="AC1155" s="75"/>
      <c r="AD1155" s="75"/>
      <c r="AE1155" s="1"/>
      <c r="AF1155" s="1"/>
      <c r="AG1155" s="1"/>
    </row>
    <row r="1156">
      <c r="A1156" s="1"/>
      <c r="D1156" s="75"/>
      <c r="E1156" s="75"/>
      <c r="F1156" s="75"/>
      <c r="G1156" s="75"/>
      <c r="H1156" s="1"/>
      <c r="I1156" s="76"/>
      <c r="J1156" s="1"/>
      <c r="K1156" s="1"/>
      <c r="L1156" s="75"/>
      <c r="M1156" s="1"/>
      <c r="N1156" s="1"/>
      <c r="O1156" s="1"/>
      <c r="P1156" s="1"/>
      <c r="Q1156" s="1"/>
      <c r="R1156" s="1"/>
      <c r="S1156" s="1"/>
      <c r="T1156" s="75"/>
      <c r="U1156" s="1"/>
      <c r="V1156" s="1"/>
      <c r="W1156" s="1"/>
      <c r="X1156" s="1"/>
      <c r="Y1156" s="1"/>
      <c r="Z1156" s="75"/>
      <c r="AA1156" s="1"/>
      <c r="AB1156" s="1"/>
      <c r="AC1156" s="75"/>
      <c r="AD1156" s="75"/>
      <c r="AE1156" s="1"/>
      <c r="AF1156" s="1"/>
      <c r="AG1156" s="1"/>
    </row>
    <row r="1157">
      <c r="A1157" s="1"/>
      <c r="D1157" s="75"/>
      <c r="E1157" s="75"/>
      <c r="F1157" s="75"/>
      <c r="G1157" s="75"/>
      <c r="H1157" s="1"/>
      <c r="I1157" s="76"/>
      <c r="J1157" s="1"/>
      <c r="K1157" s="1"/>
      <c r="L1157" s="75"/>
      <c r="M1157" s="1"/>
      <c r="N1157" s="1"/>
      <c r="O1157" s="1"/>
      <c r="P1157" s="1"/>
      <c r="Q1157" s="1"/>
      <c r="R1157" s="1"/>
      <c r="S1157" s="1"/>
      <c r="T1157" s="75"/>
      <c r="U1157" s="1"/>
      <c r="V1157" s="1"/>
      <c r="W1157" s="1"/>
      <c r="X1157" s="1"/>
      <c r="Y1157" s="1"/>
      <c r="Z1157" s="75"/>
      <c r="AA1157" s="1"/>
      <c r="AB1157" s="1"/>
      <c r="AC1157" s="75"/>
      <c r="AD1157" s="75"/>
      <c r="AE1157" s="1"/>
      <c r="AF1157" s="1"/>
      <c r="AG1157" s="1"/>
    </row>
    <row r="1158">
      <c r="A1158" s="1"/>
      <c r="D1158" s="75"/>
      <c r="E1158" s="75"/>
      <c r="F1158" s="75"/>
      <c r="G1158" s="75"/>
      <c r="H1158" s="1"/>
      <c r="I1158" s="76"/>
      <c r="J1158" s="1"/>
      <c r="K1158" s="1"/>
      <c r="L1158" s="75"/>
      <c r="M1158" s="1"/>
      <c r="N1158" s="1"/>
      <c r="O1158" s="1"/>
      <c r="P1158" s="1"/>
      <c r="Q1158" s="1"/>
      <c r="R1158" s="1"/>
      <c r="S1158" s="1"/>
      <c r="T1158" s="75"/>
      <c r="U1158" s="1"/>
      <c r="V1158" s="1"/>
      <c r="W1158" s="1"/>
      <c r="X1158" s="1"/>
      <c r="Y1158" s="1"/>
      <c r="Z1158" s="75"/>
      <c r="AA1158" s="1"/>
      <c r="AB1158" s="1"/>
      <c r="AC1158" s="75"/>
      <c r="AD1158" s="75"/>
      <c r="AE1158" s="1"/>
      <c r="AF1158" s="1"/>
      <c r="AG1158" s="1"/>
    </row>
    <row r="1159">
      <c r="A1159" s="1"/>
      <c r="D1159" s="75"/>
      <c r="E1159" s="75"/>
      <c r="F1159" s="75"/>
      <c r="G1159" s="75"/>
      <c r="H1159" s="1"/>
      <c r="I1159" s="76"/>
      <c r="J1159" s="1"/>
      <c r="K1159" s="1"/>
      <c r="L1159" s="75"/>
      <c r="M1159" s="1"/>
      <c r="N1159" s="1"/>
      <c r="O1159" s="1"/>
      <c r="P1159" s="1"/>
      <c r="Q1159" s="1"/>
      <c r="R1159" s="1"/>
      <c r="S1159" s="1"/>
      <c r="T1159" s="75"/>
      <c r="U1159" s="1"/>
      <c r="V1159" s="1"/>
      <c r="W1159" s="1"/>
      <c r="X1159" s="1"/>
      <c r="Y1159" s="1"/>
      <c r="Z1159" s="75"/>
      <c r="AA1159" s="1"/>
      <c r="AB1159" s="1"/>
      <c r="AC1159" s="75"/>
      <c r="AD1159" s="75"/>
      <c r="AE1159" s="1"/>
      <c r="AF1159" s="1"/>
      <c r="AG1159" s="1"/>
    </row>
    <row r="1160">
      <c r="A1160" s="1"/>
      <c r="D1160" s="75"/>
      <c r="E1160" s="75"/>
      <c r="F1160" s="75"/>
      <c r="G1160" s="75"/>
      <c r="H1160" s="1"/>
      <c r="I1160" s="76"/>
      <c r="J1160" s="1"/>
      <c r="K1160" s="1"/>
      <c r="L1160" s="75"/>
      <c r="M1160" s="1"/>
      <c r="N1160" s="1"/>
      <c r="O1160" s="1"/>
      <c r="P1160" s="1"/>
      <c r="Q1160" s="1"/>
      <c r="R1160" s="1"/>
      <c r="S1160" s="1"/>
      <c r="T1160" s="75"/>
      <c r="U1160" s="1"/>
      <c r="V1160" s="1"/>
      <c r="W1160" s="1"/>
      <c r="X1160" s="1"/>
      <c r="Y1160" s="1"/>
      <c r="Z1160" s="75"/>
      <c r="AA1160" s="1"/>
      <c r="AB1160" s="1"/>
      <c r="AC1160" s="75"/>
      <c r="AD1160" s="75"/>
      <c r="AE1160" s="1"/>
      <c r="AF1160" s="1"/>
      <c r="AG1160" s="1"/>
    </row>
    <row r="1161">
      <c r="A1161" s="1"/>
      <c r="D1161" s="75"/>
      <c r="E1161" s="75"/>
      <c r="F1161" s="75"/>
      <c r="G1161" s="75"/>
      <c r="H1161" s="1"/>
      <c r="I1161" s="76"/>
      <c r="J1161" s="1"/>
      <c r="K1161" s="1"/>
      <c r="L1161" s="75"/>
      <c r="M1161" s="1"/>
      <c r="N1161" s="1"/>
      <c r="O1161" s="1"/>
      <c r="P1161" s="1"/>
      <c r="Q1161" s="1"/>
      <c r="R1161" s="1"/>
      <c r="S1161" s="1"/>
      <c r="T1161" s="75"/>
      <c r="U1161" s="1"/>
      <c r="V1161" s="1"/>
      <c r="W1161" s="1"/>
      <c r="X1161" s="1"/>
      <c r="Y1161" s="1"/>
      <c r="Z1161" s="75"/>
      <c r="AA1161" s="1"/>
      <c r="AB1161" s="1"/>
      <c r="AC1161" s="75"/>
      <c r="AD1161" s="75"/>
      <c r="AE1161" s="1"/>
      <c r="AF1161" s="1"/>
      <c r="AG1161" s="1"/>
    </row>
    <row r="1162">
      <c r="A1162" s="1"/>
      <c r="D1162" s="75"/>
      <c r="E1162" s="75"/>
      <c r="F1162" s="75"/>
      <c r="G1162" s="75"/>
      <c r="H1162" s="1"/>
      <c r="I1162" s="76"/>
      <c r="J1162" s="1"/>
      <c r="K1162" s="1"/>
      <c r="L1162" s="75"/>
      <c r="M1162" s="1"/>
      <c r="N1162" s="1"/>
      <c r="O1162" s="1"/>
      <c r="P1162" s="1"/>
      <c r="Q1162" s="1"/>
      <c r="R1162" s="1"/>
      <c r="S1162" s="1"/>
      <c r="T1162" s="75"/>
      <c r="U1162" s="1"/>
      <c r="V1162" s="1"/>
      <c r="W1162" s="1"/>
      <c r="X1162" s="1"/>
      <c r="Y1162" s="1"/>
      <c r="Z1162" s="75"/>
      <c r="AA1162" s="1"/>
      <c r="AB1162" s="1"/>
      <c r="AC1162" s="75"/>
      <c r="AD1162" s="75"/>
      <c r="AE1162" s="1"/>
      <c r="AF1162" s="1"/>
      <c r="AG1162" s="1"/>
    </row>
    <row r="1163">
      <c r="A1163" s="1"/>
      <c r="D1163" s="75"/>
      <c r="E1163" s="75"/>
      <c r="F1163" s="75"/>
      <c r="G1163" s="75"/>
      <c r="H1163" s="1"/>
      <c r="I1163" s="76"/>
      <c r="J1163" s="1"/>
      <c r="K1163" s="1"/>
      <c r="L1163" s="75"/>
      <c r="M1163" s="1"/>
      <c r="N1163" s="1"/>
      <c r="O1163" s="1"/>
      <c r="P1163" s="1"/>
      <c r="Q1163" s="1"/>
      <c r="R1163" s="1"/>
      <c r="S1163" s="1"/>
      <c r="T1163" s="75"/>
      <c r="U1163" s="1"/>
      <c r="V1163" s="1"/>
      <c r="W1163" s="1"/>
      <c r="X1163" s="1"/>
      <c r="Y1163" s="1"/>
      <c r="Z1163" s="75"/>
      <c r="AA1163" s="1"/>
      <c r="AB1163" s="1"/>
      <c r="AC1163" s="75"/>
      <c r="AD1163" s="75"/>
      <c r="AE1163" s="1"/>
      <c r="AF1163" s="1"/>
      <c r="AG1163" s="1"/>
    </row>
    <row r="1164">
      <c r="A1164" s="1"/>
      <c r="D1164" s="75"/>
      <c r="E1164" s="75"/>
      <c r="F1164" s="75"/>
      <c r="G1164" s="75"/>
      <c r="H1164" s="1"/>
      <c r="I1164" s="76"/>
      <c r="J1164" s="1"/>
      <c r="K1164" s="1"/>
      <c r="L1164" s="75"/>
      <c r="M1164" s="1"/>
      <c r="N1164" s="1"/>
      <c r="O1164" s="1"/>
      <c r="P1164" s="1"/>
      <c r="Q1164" s="1"/>
      <c r="R1164" s="1"/>
      <c r="S1164" s="1"/>
      <c r="T1164" s="75"/>
      <c r="U1164" s="1"/>
      <c r="V1164" s="1"/>
      <c r="W1164" s="1"/>
      <c r="X1164" s="1"/>
      <c r="Y1164" s="1"/>
      <c r="Z1164" s="75"/>
      <c r="AA1164" s="1"/>
      <c r="AB1164" s="1"/>
      <c r="AC1164" s="75"/>
      <c r="AD1164" s="75"/>
      <c r="AE1164" s="1"/>
      <c r="AF1164" s="1"/>
      <c r="AG1164" s="1"/>
    </row>
    <row r="1165">
      <c r="A1165" s="1"/>
      <c r="D1165" s="75"/>
      <c r="E1165" s="75"/>
      <c r="F1165" s="75"/>
      <c r="G1165" s="75"/>
      <c r="H1165" s="1"/>
      <c r="I1165" s="76"/>
      <c r="J1165" s="1"/>
      <c r="K1165" s="1"/>
      <c r="L1165" s="75"/>
      <c r="M1165" s="1"/>
      <c r="N1165" s="1"/>
      <c r="O1165" s="1"/>
      <c r="P1165" s="1"/>
      <c r="Q1165" s="1"/>
      <c r="R1165" s="1"/>
      <c r="S1165" s="1"/>
      <c r="T1165" s="75"/>
      <c r="U1165" s="1"/>
      <c r="V1165" s="1"/>
      <c r="W1165" s="1"/>
      <c r="X1165" s="1"/>
      <c r="Y1165" s="1"/>
      <c r="Z1165" s="75"/>
      <c r="AA1165" s="1"/>
      <c r="AB1165" s="1"/>
      <c r="AC1165" s="75"/>
      <c r="AD1165" s="75"/>
      <c r="AE1165" s="1"/>
      <c r="AF1165" s="1"/>
      <c r="AG1165" s="1"/>
    </row>
    <row r="1166">
      <c r="A1166" s="1"/>
      <c r="D1166" s="75"/>
      <c r="E1166" s="75"/>
      <c r="F1166" s="75"/>
      <c r="G1166" s="75"/>
      <c r="H1166" s="1"/>
      <c r="I1166" s="76"/>
      <c r="J1166" s="1"/>
      <c r="K1166" s="1"/>
      <c r="L1166" s="75"/>
      <c r="M1166" s="1"/>
      <c r="N1166" s="1"/>
      <c r="O1166" s="1"/>
      <c r="P1166" s="1"/>
      <c r="Q1166" s="1"/>
      <c r="R1166" s="1"/>
      <c r="S1166" s="1"/>
      <c r="T1166" s="75"/>
      <c r="U1166" s="1"/>
      <c r="V1166" s="1"/>
      <c r="W1166" s="1"/>
      <c r="X1166" s="1"/>
      <c r="Y1166" s="1"/>
      <c r="Z1166" s="75"/>
      <c r="AA1166" s="1"/>
      <c r="AB1166" s="1"/>
      <c r="AC1166" s="75"/>
      <c r="AD1166" s="75"/>
      <c r="AE1166" s="1"/>
      <c r="AF1166" s="1"/>
      <c r="AG1166" s="1"/>
    </row>
    <row r="1167">
      <c r="A1167" s="1"/>
      <c r="D1167" s="75"/>
      <c r="E1167" s="75"/>
      <c r="F1167" s="75"/>
      <c r="G1167" s="75"/>
      <c r="H1167" s="1"/>
      <c r="I1167" s="76"/>
      <c r="J1167" s="1"/>
      <c r="K1167" s="1"/>
      <c r="L1167" s="75"/>
      <c r="M1167" s="1"/>
      <c r="N1167" s="1"/>
      <c r="O1167" s="1"/>
      <c r="P1167" s="1"/>
      <c r="Q1167" s="1"/>
      <c r="R1167" s="1"/>
      <c r="S1167" s="1"/>
      <c r="T1167" s="75"/>
      <c r="U1167" s="1"/>
      <c r="V1167" s="1"/>
      <c r="W1167" s="1"/>
      <c r="X1167" s="1"/>
      <c r="Y1167" s="1"/>
      <c r="Z1167" s="75"/>
      <c r="AA1167" s="1"/>
      <c r="AB1167" s="1"/>
      <c r="AC1167" s="75"/>
      <c r="AD1167" s="75"/>
      <c r="AE1167" s="1"/>
      <c r="AF1167" s="1"/>
      <c r="AG1167" s="1"/>
    </row>
    <row r="1168">
      <c r="A1168" s="1"/>
      <c r="D1168" s="75"/>
      <c r="E1168" s="75"/>
      <c r="F1168" s="75"/>
      <c r="G1168" s="75"/>
      <c r="H1168" s="1"/>
      <c r="I1168" s="76"/>
      <c r="J1168" s="1"/>
      <c r="K1168" s="1"/>
      <c r="L1168" s="75"/>
      <c r="M1168" s="1"/>
      <c r="N1168" s="1"/>
      <c r="O1168" s="1"/>
      <c r="P1168" s="1"/>
      <c r="Q1168" s="1"/>
      <c r="R1168" s="1"/>
      <c r="S1168" s="1"/>
      <c r="T1168" s="75"/>
      <c r="U1168" s="1"/>
      <c r="V1168" s="1"/>
      <c r="W1168" s="1"/>
      <c r="X1168" s="1"/>
      <c r="Y1168" s="1"/>
      <c r="Z1168" s="75"/>
      <c r="AA1168" s="1"/>
      <c r="AB1168" s="1"/>
      <c r="AC1168" s="75"/>
      <c r="AD1168" s="75"/>
      <c r="AE1168" s="1"/>
      <c r="AF1168" s="1"/>
      <c r="AG1168" s="1"/>
    </row>
    <row r="1169">
      <c r="A1169" s="1"/>
      <c r="D1169" s="75"/>
      <c r="E1169" s="75"/>
      <c r="F1169" s="75"/>
      <c r="G1169" s="75"/>
      <c r="H1169" s="1"/>
      <c r="I1169" s="76"/>
      <c r="J1169" s="1"/>
      <c r="K1169" s="1"/>
      <c r="L1169" s="75"/>
      <c r="M1169" s="1"/>
      <c r="N1169" s="1"/>
      <c r="O1169" s="1"/>
      <c r="P1169" s="1"/>
      <c r="Q1169" s="1"/>
      <c r="R1169" s="1"/>
      <c r="S1169" s="1"/>
      <c r="T1169" s="75"/>
      <c r="U1169" s="1"/>
      <c r="V1169" s="1"/>
      <c r="W1169" s="1"/>
      <c r="X1169" s="1"/>
      <c r="Y1169" s="1"/>
      <c r="Z1169" s="75"/>
      <c r="AA1169" s="1"/>
      <c r="AB1169" s="1"/>
      <c r="AC1169" s="75"/>
      <c r="AD1169" s="75"/>
      <c r="AE1169" s="1"/>
      <c r="AF1169" s="1"/>
      <c r="AG1169" s="1"/>
    </row>
    <row r="1170">
      <c r="A1170" s="1"/>
      <c r="D1170" s="75"/>
      <c r="E1170" s="75"/>
      <c r="F1170" s="75"/>
      <c r="G1170" s="75"/>
      <c r="H1170" s="1"/>
      <c r="I1170" s="76"/>
      <c r="J1170" s="1"/>
      <c r="K1170" s="1"/>
      <c r="L1170" s="75"/>
      <c r="M1170" s="1"/>
      <c r="N1170" s="1"/>
      <c r="O1170" s="1"/>
      <c r="P1170" s="1"/>
      <c r="Q1170" s="1"/>
      <c r="R1170" s="1"/>
      <c r="S1170" s="1"/>
      <c r="T1170" s="75"/>
      <c r="U1170" s="1"/>
      <c r="V1170" s="1"/>
      <c r="W1170" s="1"/>
      <c r="X1170" s="1"/>
      <c r="Y1170" s="1"/>
      <c r="Z1170" s="75"/>
      <c r="AA1170" s="1"/>
      <c r="AB1170" s="1"/>
      <c r="AC1170" s="75"/>
      <c r="AD1170" s="75"/>
      <c r="AE1170" s="1"/>
      <c r="AF1170" s="1"/>
      <c r="AG1170" s="1"/>
    </row>
    <row r="1171">
      <c r="A1171" s="1"/>
      <c r="D1171" s="75"/>
      <c r="E1171" s="75"/>
      <c r="F1171" s="75"/>
      <c r="G1171" s="75"/>
      <c r="H1171" s="1"/>
      <c r="I1171" s="76"/>
      <c r="J1171" s="1"/>
      <c r="K1171" s="1"/>
      <c r="L1171" s="75"/>
      <c r="M1171" s="1"/>
      <c r="N1171" s="1"/>
      <c r="O1171" s="1"/>
      <c r="P1171" s="1"/>
      <c r="Q1171" s="1"/>
      <c r="R1171" s="1"/>
      <c r="S1171" s="1"/>
      <c r="T1171" s="75"/>
      <c r="U1171" s="1"/>
      <c r="V1171" s="1"/>
      <c r="W1171" s="1"/>
      <c r="X1171" s="1"/>
      <c r="Y1171" s="1"/>
      <c r="Z1171" s="75"/>
      <c r="AA1171" s="1"/>
      <c r="AB1171" s="1"/>
      <c r="AC1171" s="75"/>
      <c r="AD1171" s="75"/>
      <c r="AE1171" s="1"/>
      <c r="AF1171" s="1"/>
      <c r="AG1171" s="1"/>
    </row>
    <row r="1172">
      <c r="A1172" s="1"/>
      <c r="D1172" s="75"/>
      <c r="E1172" s="75"/>
      <c r="F1172" s="75"/>
      <c r="G1172" s="75"/>
      <c r="H1172" s="1"/>
      <c r="I1172" s="76"/>
      <c r="J1172" s="1"/>
      <c r="K1172" s="1"/>
      <c r="L1172" s="75"/>
      <c r="M1172" s="1"/>
      <c r="N1172" s="1"/>
      <c r="O1172" s="1"/>
      <c r="P1172" s="1"/>
      <c r="Q1172" s="1"/>
      <c r="R1172" s="1"/>
      <c r="S1172" s="1"/>
      <c r="T1172" s="75"/>
      <c r="U1172" s="1"/>
      <c r="V1172" s="1"/>
      <c r="W1172" s="1"/>
      <c r="X1172" s="1"/>
      <c r="Y1172" s="1"/>
      <c r="Z1172" s="75"/>
      <c r="AA1172" s="1"/>
      <c r="AB1172" s="1"/>
      <c r="AC1172" s="75"/>
      <c r="AD1172" s="75"/>
      <c r="AE1172" s="1"/>
      <c r="AF1172" s="1"/>
      <c r="AG1172" s="1"/>
    </row>
    <row r="1173">
      <c r="A1173" s="1"/>
      <c r="D1173" s="75"/>
      <c r="E1173" s="75"/>
      <c r="F1173" s="75"/>
      <c r="G1173" s="75"/>
      <c r="H1173" s="1"/>
      <c r="I1173" s="76"/>
      <c r="J1173" s="1"/>
      <c r="K1173" s="1"/>
      <c r="L1173" s="75"/>
      <c r="M1173" s="1"/>
      <c r="N1173" s="1"/>
      <c r="O1173" s="1"/>
      <c r="P1173" s="1"/>
      <c r="Q1173" s="1"/>
      <c r="R1173" s="1"/>
      <c r="S1173" s="1"/>
      <c r="T1173" s="75"/>
      <c r="U1173" s="1"/>
      <c r="V1173" s="1"/>
      <c r="W1173" s="1"/>
      <c r="X1173" s="1"/>
      <c r="Y1173" s="1"/>
      <c r="Z1173" s="75"/>
      <c r="AA1173" s="1"/>
      <c r="AB1173" s="1"/>
      <c r="AC1173" s="75"/>
      <c r="AD1173" s="75"/>
      <c r="AE1173" s="1"/>
      <c r="AF1173" s="1"/>
      <c r="AG1173" s="1"/>
    </row>
    <row r="1174">
      <c r="A1174" s="1"/>
      <c r="D1174" s="75"/>
      <c r="E1174" s="75"/>
      <c r="F1174" s="75"/>
      <c r="G1174" s="75"/>
      <c r="H1174" s="1"/>
      <c r="I1174" s="76"/>
      <c r="J1174" s="1"/>
      <c r="K1174" s="1"/>
      <c r="L1174" s="75"/>
      <c r="M1174" s="1"/>
      <c r="N1174" s="1"/>
      <c r="O1174" s="1"/>
      <c r="P1174" s="1"/>
      <c r="Q1174" s="1"/>
      <c r="R1174" s="1"/>
      <c r="S1174" s="1"/>
      <c r="T1174" s="75"/>
      <c r="U1174" s="1"/>
      <c r="V1174" s="1"/>
      <c r="W1174" s="1"/>
      <c r="X1174" s="1"/>
      <c r="Y1174" s="1"/>
      <c r="Z1174" s="75"/>
      <c r="AA1174" s="1"/>
      <c r="AB1174" s="1"/>
      <c r="AC1174" s="75"/>
      <c r="AD1174" s="75"/>
      <c r="AE1174" s="1"/>
      <c r="AF1174" s="1"/>
      <c r="AG1174" s="1"/>
    </row>
    <row r="1175">
      <c r="A1175" s="1"/>
      <c r="D1175" s="75"/>
      <c r="G1175" s="75"/>
      <c r="H1175" s="1"/>
      <c r="I1175" s="76"/>
      <c r="J1175" s="1"/>
      <c r="K1175" s="1"/>
      <c r="L1175" s="75"/>
      <c r="M1175" s="1"/>
      <c r="N1175" s="1"/>
      <c r="O1175" s="1"/>
      <c r="P1175" s="1"/>
      <c r="Q1175" s="1"/>
      <c r="R1175" s="1"/>
      <c r="S1175" s="1"/>
      <c r="T1175" s="75"/>
      <c r="U1175" s="1"/>
      <c r="V1175" s="1"/>
      <c r="W1175" s="1"/>
      <c r="X1175" s="1"/>
      <c r="Y1175" s="1"/>
      <c r="Z1175" s="75"/>
      <c r="AA1175" s="1"/>
      <c r="AB1175" s="1"/>
      <c r="AC1175" s="75"/>
      <c r="AD1175" s="75"/>
      <c r="AE1175" s="1"/>
      <c r="AF1175" s="1"/>
      <c r="AG1175" s="1"/>
    </row>
    <row r="1176">
      <c r="A1176" s="1"/>
      <c r="D1176" s="75"/>
      <c r="G1176" s="75"/>
      <c r="H1176" s="1"/>
      <c r="I1176" s="76"/>
      <c r="J1176" s="1"/>
      <c r="K1176" s="1"/>
      <c r="L1176" s="75"/>
      <c r="M1176" s="1"/>
      <c r="N1176" s="1"/>
      <c r="O1176" s="1"/>
      <c r="P1176" s="1"/>
      <c r="Q1176" s="1"/>
      <c r="R1176" s="1"/>
      <c r="S1176" s="1"/>
      <c r="T1176" s="75"/>
      <c r="U1176" s="1"/>
      <c r="V1176" s="1"/>
      <c r="W1176" s="1"/>
      <c r="X1176" s="1"/>
      <c r="Y1176" s="1"/>
      <c r="Z1176" s="75"/>
      <c r="AA1176" s="1"/>
      <c r="AB1176" s="1"/>
      <c r="AC1176" s="75"/>
      <c r="AD1176" s="75"/>
      <c r="AE1176" s="1"/>
      <c r="AF1176" s="1"/>
      <c r="AG1176" s="1"/>
    </row>
    <row r="1177">
      <c r="A1177" s="1"/>
      <c r="D1177" s="75"/>
      <c r="G1177" s="75"/>
      <c r="H1177" s="1"/>
      <c r="I1177" s="76"/>
      <c r="J1177" s="1"/>
      <c r="K1177" s="1"/>
      <c r="L1177" s="75"/>
      <c r="M1177" s="1"/>
      <c r="N1177" s="1"/>
      <c r="O1177" s="1"/>
      <c r="P1177" s="1"/>
      <c r="Q1177" s="1"/>
      <c r="R1177" s="1"/>
      <c r="S1177" s="1"/>
      <c r="T1177" s="75"/>
      <c r="U1177" s="1"/>
      <c r="V1177" s="1"/>
      <c r="W1177" s="1"/>
      <c r="X1177" s="1"/>
      <c r="Y1177" s="1"/>
      <c r="Z1177" s="75"/>
      <c r="AA1177" s="1"/>
      <c r="AB1177" s="1"/>
      <c r="AC1177" s="75"/>
      <c r="AD1177" s="75"/>
      <c r="AE1177" s="1"/>
      <c r="AF1177" s="1"/>
      <c r="AG1177" s="1"/>
    </row>
    <row r="1178">
      <c r="A1178" s="1"/>
      <c r="D1178" s="75"/>
      <c r="G1178" s="75"/>
      <c r="H1178" s="1"/>
      <c r="I1178" s="76"/>
      <c r="J1178" s="1"/>
      <c r="K1178" s="1"/>
      <c r="L1178" s="75"/>
      <c r="M1178" s="1"/>
      <c r="N1178" s="1"/>
      <c r="O1178" s="1"/>
      <c r="P1178" s="1"/>
      <c r="Q1178" s="1"/>
      <c r="R1178" s="1"/>
      <c r="S1178" s="1"/>
      <c r="T1178" s="75"/>
      <c r="U1178" s="1"/>
      <c r="V1178" s="1"/>
      <c r="W1178" s="1"/>
      <c r="X1178" s="1"/>
      <c r="Y1178" s="1"/>
      <c r="Z1178" s="75"/>
      <c r="AA1178" s="1"/>
      <c r="AB1178" s="1"/>
      <c r="AC1178" s="75"/>
      <c r="AD1178" s="75"/>
      <c r="AE1178" s="1"/>
      <c r="AF1178" s="1"/>
      <c r="AG1178" s="1"/>
    </row>
    <row r="1179">
      <c r="A1179" s="1"/>
      <c r="D1179" s="75"/>
      <c r="G1179" s="75"/>
      <c r="H1179" s="1"/>
      <c r="I1179" s="76"/>
      <c r="J1179" s="1"/>
      <c r="K1179" s="1"/>
      <c r="L1179" s="75"/>
      <c r="M1179" s="1"/>
      <c r="N1179" s="1"/>
      <c r="O1179" s="1"/>
      <c r="P1179" s="1"/>
      <c r="Q1179" s="1"/>
      <c r="R1179" s="1"/>
      <c r="S1179" s="1"/>
      <c r="T1179" s="75"/>
      <c r="U1179" s="1"/>
      <c r="V1179" s="1"/>
      <c r="W1179" s="1"/>
      <c r="X1179" s="1"/>
      <c r="Y1179" s="1"/>
      <c r="Z1179" s="75"/>
      <c r="AA1179" s="1"/>
      <c r="AB1179" s="1"/>
      <c r="AC1179" s="75"/>
      <c r="AD1179" s="75"/>
      <c r="AE1179" s="1"/>
      <c r="AF1179" s="1"/>
      <c r="AG1179" s="1"/>
    </row>
    <row r="1180">
      <c r="A1180" s="1"/>
      <c r="D1180" s="75"/>
      <c r="G1180" s="75"/>
      <c r="H1180" s="1"/>
      <c r="I1180" s="76"/>
      <c r="J1180" s="1"/>
      <c r="K1180" s="1"/>
      <c r="L1180" s="75"/>
      <c r="M1180" s="1"/>
      <c r="N1180" s="1"/>
      <c r="O1180" s="1"/>
      <c r="P1180" s="1"/>
      <c r="Q1180" s="1"/>
      <c r="R1180" s="1"/>
      <c r="S1180" s="1"/>
      <c r="T1180" s="75"/>
      <c r="U1180" s="1"/>
      <c r="V1180" s="1"/>
      <c r="W1180" s="1"/>
      <c r="X1180" s="1"/>
      <c r="Y1180" s="1"/>
      <c r="Z1180" s="75"/>
      <c r="AA1180" s="1"/>
      <c r="AB1180" s="1"/>
      <c r="AC1180" s="75"/>
      <c r="AE1180" s="1"/>
      <c r="AF1180" s="1"/>
      <c r="AG1180" s="1"/>
    </row>
    <row r="1181">
      <c r="A1181" s="1"/>
      <c r="D1181" s="75"/>
      <c r="G1181" s="75"/>
      <c r="H1181" s="1"/>
      <c r="I1181" s="76"/>
      <c r="J1181" s="1"/>
      <c r="K1181" s="1"/>
      <c r="L1181" s="75"/>
      <c r="M1181" s="1"/>
      <c r="N1181" s="1"/>
      <c r="O1181" s="1"/>
      <c r="P1181" s="1"/>
      <c r="Q1181" s="1"/>
      <c r="R1181" s="1"/>
      <c r="S1181" s="1"/>
      <c r="T1181" s="75"/>
      <c r="U1181" s="1"/>
      <c r="V1181" s="1"/>
      <c r="W1181" s="1"/>
      <c r="X1181" s="1"/>
      <c r="Y1181" s="1"/>
      <c r="Z1181" s="75"/>
      <c r="AA1181" s="1"/>
      <c r="AB1181" s="1"/>
      <c r="AC1181" s="75"/>
      <c r="AE1181" s="1"/>
      <c r="AF1181" s="1"/>
      <c r="AG1181" s="1"/>
    </row>
    <row r="1182">
      <c r="A1182" s="1"/>
      <c r="D1182" s="75"/>
      <c r="G1182" s="75"/>
      <c r="H1182" s="1"/>
      <c r="I1182" s="76"/>
      <c r="J1182" s="1"/>
      <c r="K1182" s="1"/>
      <c r="L1182" s="75"/>
      <c r="M1182" s="1"/>
      <c r="N1182" s="1"/>
      <c r="O1182" s="1"/>
      <c r="P1182" s="1"/>
      <c r="Q1182" s="1"/>
      <c r="R1182" s="1"/>
      <c r="S1182" s="1"/>
      <c r="T1182" s="75"/>
      <c r="U1182" s="1"/>
      <c r="V1182" s="1"/>
      <c r="W1182" s="1"/>
      <c r="X1182" s="1"/>
      <c r="Y1182" s="1"/>
      <c r="Z1182" s="75"/>
      <c r="AA1182" s="1"/>
      <c r="AB1182" s="1"/>
      <c r="AC1182" s="75"/>
      <c r="AE1182" s="1"/>
      <c r="AF1182" s="1"/>
      <c r="AG1182" s="1"/>
    </row>
    <row r="1183">
      <c r="A1183" s="1"/>
      <c r="D1183" s="75"/>
      <c r="G1183" s="75"/>
      <c r="H1183" s="1"/>
      <c r="I1183" s="76"/>
      <c r="J1183" s="1"/>
      <c r="K1183" s="1"/>
      <c r="L1183" s="75"/>
      <c r="M1183" s="1"/>
      <c r="N1183" s="1"/>
      <c r="O1183" s="1"/>
      <c r="P1183" s="1"/>
      <c r="Q1183" s="1"/>
      <c r="R1183" s="1"/>
      <c r="S1183" s="1"/>
      <c r="T1183" s="75"/>
      <c r="U1183" s="1"/>
      <c r="V1183" s="1"/>
      <c r="W1183" s="1"/>
      <c r="X1183" s="1"/>
      <c r="Y1183" s="1"/>
      <c r="Z1183" s="75"/>
      <c r="AA1183" s="1"/>
      <c r="AB1183" s="1"/>
      <c r="AC1183" s="75"/>
      <c r="AE1183" s="1"/>
      <c r="AF1183" s="1"/>
      <c r="AG1183" s="1"/>
    </row>
    <row r="1184">
      <c r="A1184" s="1"/>
      <c r="D1184" s="75"/>
      <c r="G1184" s="75"/>
      <c r="H1184" s="1"/>
      <c r="I1184" s="76"/>
      <c r="J1184" s="1"/>
      <c r="K1184" s="1"/>
      <c r="L1184" s="75"/>
      <c r="M1184" s="1"/>
      <c r="N1184" s="1"/>
      <c r="O1184" s="1"/>
      <c r="P1184" s="1"/>
      <c r="Q1184" s="1"/>
      <c r="R1184" s="1"/>
      <c r="S1184" s="1"/>
      <c r="T1184" s="75"/>
      <c r="U1184" s="1"/>
      <c r="V1184" s="1"/>
      <c r="W1184" s="1"/>
      <c r="X1184" s="1"/>
      <c r="Y1184" s="1"/>
      <c r="Z1184" s="75"/>
      <c r="AA1184" s="1"/>
      <c r="AB1184" s="1"/>
      <c r="AC1184" s="75"/>
      <c r="AE1184" s="1"/>
      <c r="AF1184" s="1"/>
      <c r="AG1184" s="1"/>
    </row>
    <row r="1185">
      <c r="A1185" s="1"/>
      <c r="D1185" s="75"/>
      <c r="G1185" s="75"/>
      <c r="H1185" s="1"/>
      <c r="I1185" s="76"/>
      <c r="J1185" s="1"/>
      <c r="K1185" s="1"/>
      <c r="L1185" s="75"/>
      <c r="M1185" s="1"/>
      <c r="N1185" s="1"/>
      <c r="O1185" s="1"/>
      <c r="P1185" s="1"/>
      <c r="Q1185" s="1"/>
      <c r="R1185" s="1"/>
      <c r="S1185" s="1"/>
      <c r="T1185" s="75"/>
      <c r="U1185" s="1"/>
      <c r="V1185" s="1"/>
      <c r="W1185" s="1"/>
      <c r="X1185" s="1"/>
      <c r="Y1185" s="1"/>
      <c r="Z1185" s="75"/>
      <c r="AA1185" s="1"/>
      <c r="AB1185" s="1"/>
      <c r="AC1185" s="75"/>
      <c r="AE1185" s="1"/>
      <c r="AF1185" s="1"/>
      <c r="AG1185" s="1"/>
    </row>
    <row r="1186">
      <c r="A1186" s="1"/>
      <c r="G1186" s="75"/>
      <c r="I1186" s="73"/>
      <c r="J1186" s="1"/>
      <c r="K1186" s="1"/>
      <c r="L1186" s="75"/>
      <c r="P1186" s="1"/>
      <c r="Q1186" s="1"/>
      <c r="R1186" s="1"/>
      <c r="S1186" s="1"/>
      <c r="T1186" s="75"/>
      <c r="AC1186" s="75"/>
      <c r="AE1186" s="1"/>
      <c r="AF1186" s="1"/>
      <c r="AG1186" s="1"/>
    </row>
    <row r="1187">
      <c r="A1187" s="1"/>
      <c r="G1187" s="75"/>
      <c r="I1187" s="73"/>
      <c r="L1187" s="75"/>
      <c r="T1187" s="75"/>
      <c r="AC1187" s="75"/>
      <c r="AE1187" s="1"/>
      <c r="AF1187" s="1"/>
      <c r="AG1187" s="1"/>
    </row>
    <row r="1188">
      <c r="A1188" s="1"/>
      <c r="G1188" s="75"/>
      <c r="I1188" s="73"/>
      <c r="L1188" s="75"/>
      <c r="T1188" s="75"/>
      <c r="AC1188" s="75"/>
      <c r="AE1188" s="1"/>
      <c r="AF1188" s="1"/>
      <c r="AG1188" s="1"/>
    </row>
  </sheetData>
  <mergeCells count="20">
    <mergeCell ref="B2:C2"/>
    <mergeCell ref="E2:F2"/>
    <mergeCell ref="V2:AB2"/>
    <mergeCell ref="B9:C9"/>
    <mergeCell ref="B14:C14"/>
    <mergeCell ref="B17:C17"/>
    <mergeCell ref="B18:C18"/>
    <mergeCell ref="B29:C29"/>
    <mergeCell ref="B33:C33"/>
    <mergeCell ref="B38:C38"/>
    <mergeCell ref="B40:C40"/>
    <mergeCell ref="B43:C43"/>
    <mergeCell ref="B46:C46"/>
    <mergeCell ref="E17:F17"/>
    <mergeCell ref="E18:F18"/>
    <mergeCell ref="B22:C22"/>
    <mergeCell ref="E22:F22"/>
    <mergeCell ref="B25:C25"/>
    <mergeCell ref="E25:F25"/>
    <mergeCell ref="B28:C28"/>
  </mergeCells>
  <conditionalFormatting sqref="F19">
    <cfRule type="expression" dxfId="3" priority="1">
      <formula>$F19 &lt; $C19</formula>
    </cfRule>
  </conditionalFormatting>
  <conditionalFormatting sqref="F20">
    <cfRule type="expression" dxfId="3" priority="2">
      <formula> $F20 &lt; $C20</formula>
    </cfRule>
  </conditionalFormatting>
  <conditionalFormatting sqref="B4:C4">
    <cfRule type="expression" dxfId="0" priority="3">
      <formula> Eq($C$3, "Node")</formula>
    </cfRule>
  </conditionalFormatting>
  <conditionalFormatting sqref="B4:C4">
    <cfRule type="expression" dxfId="1" priority="4">
      <formula> Not(Eq($C$3, "Node"))</formula>
    </cfRule>
  </conditionalFormatting>
  <conditionalFormatting sqref="B6:C6">
    <cfRule type="expression" dxfId="0" priority="5">
      <formula> Eq($C$3, "Rack/AZ")</formula>
    </cfRule>
  </conditionalFormatting>
  <conditionalFormatting sqref="B6:C6">
    <cfRule type="expression" dxfId="1" priority="6">
      <formula> Not(Eq($C$3, "Rack/AZ"))</formula>
    </cfRule>
  </conditionalFormatting>
  <conditionalFormatting sqref="F23">
    <cfRule type="expression" dxfId="3" priority="7">
      <formula> $F23 &lt; $C23</formula>
    </cfRule>
  </conditionalFormatting>
  <conditionalFormatting sqref="F24">
    <cfRule type="expression" dxfId="3" priority="8">
      <formula> $F24 &lt; $C24</formula>
    </cfRule>
  </conditionalFormatting>
  <dataValidations>
    <dataValidation type="list" allowBlank="1" showErrorMessage="1" sqref="C3">
      <formula1>"None,Rack/AZ,Node"</formula1>
    </dataValidation>
    <dataValidation type="list" allowBlank="1" showErrorMessage="1" sqref="C4">
      <formula1>$AE:$AE</formula1>
    </dataValidation>
    <dataValidation type="list" allowBlank="1" showErrorMessage="1" sqref="C5">
      <formula1>Miscellaneous!$E$3:$E$11</formula1>
    </dataValidation>
    <dataValidation type="list" allowBlank="1" showErrorMessage="1" sqref="C7">
      <formula1>"True,False"</formula1>
    </dataValidation>
    <dataValidation type="list" allowBlank="1" showErrorMessage="1" sqref="C10">
      <formula1>AWS!$V$4:$V$780</formula1>
    </dataValidation>
    <dataValidation type="list" allowBlank="1" showErrorMessage="1" sqref="C11">
      <formula1>AWS!$AD$2:$AD$257</formula1>
    </dataValidation>
    <dataValidation type="list" allowBlank="1" showErrorMessage="1" sqref="C6">
      <formula1>$AF:$AF</formula1>
    </dataValidation>
  </dataValidations>
  <hyperlinks>
    <hyperlink r:id="rId1" ref="W692"/>
    <hyperlink r:id="rId2" ref="W693"/>
    <hyperlink r:id="rId3" ref="W694"/>
    <hyperlink r:id="rId4" ref="W695"/>
    <hyperlink r:id="rId5" ref="W696"/>
    <hyperlink r:id="rId6" ref="W697"/>
    <hyperlink r:id="rId7" ref="W698"/>
    <hyperlink r:id="rId8" ref="W699"/>
    <hyperlink r:id="rId9" ref="W700"/>
    <hyperlink r:id="rId10" ref="W701"/>
    <hyperlink r:id="rId11" ref="W702"/>
    <hyperlink r:id="rId12" ref="W703"/>
    <hyperlink r:id="rId13" ref="W704"/>
    <hyperlink r:id="rId14" ref="W705"/>
    <hyperlink r:id="rId15" ref="W706"/>
    <hyperlink r:id="rId16" ref="W707"/>
    <hyperlink r:id="rId17" ref="W708"/>
    <hyperlink r:id="rId18" ref="W709"/>
    <hyperlink r:id="rId19" ref="W710"/>
    <hyperlink r:id="rId20" ref="W711"/>
    <hyperlink r:id="rId21" ref="W712"/>
    <hyperlink r:id="rId22" ref="W713"/>
    <hyperlink r:id="rId23" ref="W714"/>
    <hyperlink r:id="rId24" ref="W715"/>
    <hyperlink r:id="rId25" ref="W716"/>
    <hyperlink r:id="rId26" ref="W717"/>
    <hyperlink r:id="rId27" ref="W718"/>
    <hyperlink r:id="rId28" ref="W719"/>
  </hyperlinks>
  <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0.25"/>
    <col customWidth="1" min="3" max="3" width="12.25"/>
    <col customWidth="1" min="4" max="4" width="2.88"/>
    <col customWidth="1" min="5" max="5" width="27.5"/>
    <col customWidth="1" min="6" max="6" width="12.25"/>
    <col customWidth="1" min="7" max="7" width="2.88"/>
    <col customWidth="1" hidden="1" min="8" max="9" width="3.75"/>
    <col customWidth="1" hidden="1" min="10" max="10" width="3.63"/>
  </cols>
  <sheetData>
    <row r="1">
      <c r="A1" s="1"/>
      <c r="B1" s="1"/>
      <c r="C1" s="75"/>
      <c r="D1" s="3"/>
      <c r="G1" s="3"/>
      <c r="I1" s="1"/>
      <c r="J1" s="1"/>
    </row>
    <row r="2">
      <c r="A2" s="1"/>
      <c r="B2" s="77" t="s">
        <v>8</v>
      </c>
      <c r="C2" s="55"/>
      <c r="D2" s="1"/>
      <c r="G2" s="1"/>
      <c r="H2" s="86">
        <f>If(Miscellaneous!E2*Custom!C$5&gt; 256, "", Miscellaneous!E2*Custom!C$5)</f>
        <v>0</v>
      </c>
      <c r="I2" s="86">
        <f>IFERROR(__xludf.DUMMYFUNCTION(" filter(Miscellaneous!E2:E12, Miscellaneous!E2:E12&lt;Workload!$C$7)"),0.0)</f>
        <v>0</v>
      </c>
      <c r="J2" s="86">
        <f>IFERROR(__xludf.DUMMYFUNCTION(" filter(Miscellaneous!E2:E12, Miscellaneous!E2:E12&lt;Custom!$C$5)"),0.0)</f>
        <v>0</v>
      </c>
    </row>
    <row r="3">
      <c r="A3" s="1"/>
      <c r="B3" s="15" t="s">
        <v>86</v>
      </c>
      <c r="C3" s="87" t="s">
        <v>1319</v>
      </c>
      <c r="D3" s="1"/>
      <c r="G3" s="1"/>
      <c r="H3" s="86">
        <f>If(Miscellaneous!E3*Custom!C$5&gt; 256, "", Miscellaneous!E3*Custom!C$5)</f>
        <v>3</v>
      </c>
      <c r="I3" s="86">
        <f>IFERROR(__xludf.DUMMYFUNCTION("""COMPUTED_VALUE"""),1.0)</f>
        <v>1</v>
      </c>
      <c r="J3" s="86">
        <f>IFERROR(__xludf.DUMMYFUNCTION("""COMPUTED_VALUE"""),1.0)</f>
        <v>1</v>
      </c>
    </row>
    <row r="4">
      <c r="A4" s="1"/>
      <c r="B4" s="15" t="s">
        <v>98</v>
      </c>
      <c r="C4" s="17">
        <v>1.0</v>
      </c>
      <c r="D4" s="1"/>
      <c r="G4" s="1"/>
      <c r="H4" s="86">
        <f>If(Miscellaneous!E4*Custom!C$5&gt; 256, "", Miscellaneous!E4*Custom!C$5)</f>
        <v>6</v>
      </c>
      <c r="I4" s="86">
        <f>IFERROR(__xludf.DUMMYFUNCTION("""COMPUTED_VALUE"""),2.0)</f>
        <v>2</v>
      </c>
      <c r="J4" s="86">
        <f>IFERROR(__xludf.DUMMYFUNCTION("""COMPUTED_VALUE"""),2.0)</f>
        <v>2</v>
      </c>
    </row>
    <row r="5">
      <c r="A5" s="1"/>
      <c r="B5" s="15" t="s">
        <v>106</v>
      </c>
      <c r="C5" s="106">
        <v>3.0</v>
      </c>
      <c r="D5" s="1"/>
      <c r="G5" s="1"/>
      <c r="H5" s="86">
        <f>If(Miscellaneous!E5*Custom!C$5&gt; 256, "", Miscellaneous!E5*Custom!C$5)</f>
        <v>9</v>
      </c>
    </row>
    <row r="6">
      <c r="A6" s="1"/>
      <c r="B6" s="15" t="s">
        <v>113</v>
      </c>
      <c r="C6" s="87">
        <v>0.0</v>
      </c>
      <c r="D6" s="1"/>
      <c r="G6" s="1"/>
      <c r="H6" s="86">
        <f>If(Miscellaneous!E6*Custom!C$5&gt; 256, "", Miscellaneous!E6*Custom!C$5)</f>
        <v>12</v>
      </c>
      <c r="I6" s="107"/>
      <c r="J6" s="107"/>
    </row>
    <row r="7">
      <c r="A7" s="1"/>
      <c r="B7" s="33" t="s">
        <v>119</v>
      </c>
      <c r="C7" s="108" t="b">
        <v>0</v>
      </c>
      <c r="D7" s="1"/>
      <c r="G7" s="1"/>
      <c r="H7" s="86">
        <f>If(Miscellaneous!E7*Custom!C$5&gt; 256, "", Miscellaneous!E7*Custom!C$5)</f>
        <v>15</v>
      </c>
      <c r="I7" s="1"/>
      <c r="J7" s="1"/>
    </row>
    <row r="8">
      <c r="A8" s="1"/>
      <c r="B8" s="1"/>
      <c r="C8" s="75"/>
      <c r="D8" s="1"/>
      <c r="G8" s="1"/>
      <c r="H8" s="86">
        <f>If(Miscellaneous!E8*Custom!C$5&gt; 256, "", Miscellaneous!E8*Custom!C$5)</f>
        <v>18</v>
      </c>
      <c r="I8" s="110"/>
      <c r="J8" s="110"/>
    </row>
    <row r="9">
      <c r="A9" s="1"/>
      <c r="B9" s="54" t="s">
        <v>1320</v>
      </c>
      <c r="C9" s="55"/>
      <c r="D9" s="1"/>
      <c r="G9" s="1"/>
      <c r="H9" s="86">
        <f>If(Miscellaneous!E9*Custom!C$5&gt; 256, "", Miscellaneous!E9*Custom!C$5)</f>
        <v>21</v>
      </c>
      <c r="I9" s="110"/>
      <c r="J9" s="110"/>
    </row>
    <row r="10">
      <c r="A10" s="1"/>
      <c r="B10" s="148" t="s">
        <v>1321</v>
      </c>
      <c r="C10" s="113">
        <v>12.0</v>
      </c>
      <c r="D10" s="1"/>
      <c r="G10" s="1"/>
      <c r="H10" s="86">
        <f>If(Miscellaneous!E10*Custom!C$5&gt; 256, "", Miscellaneous!E10*Custom!C$5)</f>
        <v>24</v>
      </c>
      <c r="I10" s="110"/>
      <c r="J10" s="110"/>
    </row>
    <row r="11">
      <c r="A11" s="1"/>
      <c r="B11" s="41" t="s">
        <v>1322</v>
      </c>
      <c r="C11" s="14"/>
      <c r="D11" s="1"/>
      <c r="G11" s="1"/>
      <c r="H11" s="86">
        <f>If(Miscellaneous!E11*Custom!C$5&gt; 256, "", Miscellaneous!E11*Custom!C$5)</f>
        <v>27</v>
      </c>
      <c r="I11" s="110"/>
      <c r="J11" s="110"/>
    </row>
    <row r="12">
      <c r="A12" s="1"/>
      <c r="B12" s="45" t="s">
        <v>88</v>
      </c>
      <c r="C12" s="149">
        <v>32.0</v>
      </c>
      <c r="D12" s="1"/>
      <c r="G12" s="1"/>
      <c r="H12" s="86">
        <f>If(Miscellaneous!E12*Custom!C$5&gt; 256, "", Miscellaneous!E12*Custom!C$5)</f>
        <v>30</v>
      </c>
      <c r="I12" s="110"/>
      <c r="J12" s="110"/>
    </row>
    <row r="13">
      <c r="A13" s="1"/>
      <c r="B13" s="42" t="s">
        <v>99</v>
      </c>
      <c r="C13" s="149">
        <v>256.0</v>
      </c>
      <c r="G13" s="1"/>
      <c r="H13" s="86">
        <f>If(Miscellaneous!E13*Custom!C$5&gt; 256, "", Miscellaneous!E13*Custom!C$5)</f>
        <v>33</v>
      </c>
      <c r="I13" s="110"/>
      <c r="J13" s="110"/>
    </row>
    <row r="14">
      <c r="A14" s="1"/>
      <c r="B14" s="45" t="s">
        <v>107</v>
      </c>
      <c r="C14" s="150">
        <v>18.0</v>
      </c>
      <c r="D14" s="1"/>
      <c r="G14" s="1"/>
      <c r="H14" s="86">
        <f>If(Miscellaneous!E14*Custom!C$5&gt; 256, "", Miscellaneous!E14*Custom!C$5)</f>
        <v>36</v>
      </c>
      <c r="I14" s="110"/>
      <c r="J14" s="110"/>
    </row>
    <row r="15">
      <c r="A15" s="1"/>
      <c r="B15" s="45" t="s">
        <v>1323</v>
      </c>
      <c r="C15" s="151">
        <v>55.0</v>
      </c>
      <c r="D15" s="1"/>
      <c r="G15" s="1"/>
      <c r="H15" s="86">
        <f>If(Miscellaneous!E15*Custom!C$5&gt; 256, "", Miscellaneous!E15*Custom!C$5)</f>
        <v>39</v>
      </c>
      <c r="I15" s="110"/>
      <c r="J15" s="110"/>
    </row>
    <row r="16">
      <c r="A16" s="1"/>
      <c r="B16" s="71" t="s">
        <v>148</v>
      </c>
      <c r="C16" s="59">
        <v>0.1</v>
      </c>
      <c r="D16" s="1"/>
      <c r="G16" s="1"/>
      <c r="H16" s="86">
        <f>If(Miscellaneous!E16*Custom!C$5&gt; 256, "", Miscellaneous!E16*Custom!C$5)</f>
        <v>42</v>
      </c>
      <c r="I16" s="110"/>
      <c r="J16" s="110"/>
    </row>
    <row r="17">
      <c r="A17" s="1"/>
      <c r="B17" s="114" t="s">
        <v>1324</v>
      </c>
      <c r="C17" s="152">
        <v>1770.08</v>
      </c>
      <c r="D17" s="1"/>
      <c r="G17" s="1"/>
      <c r="H17" s="86">
        <f>If(Miscellaneous!E17*Custom!C$5&gt; 256, "", Miscellaneous!E17*Custom!C$5)</f>
        <v>45</v>
      </c>
      <c r="I17" s="110"/>
      <c r="J17" s="110"/>
    </row>
    <row r="18">
      <c r="A18" s="1"/>
      <c r="B18" s="45" t="s">
        <v>120</v>
      </c>
      <c r="C18" s="109">
        <v>1500.0</v>
      </c>
      <c r="D18" s="1"/>
      <c r="G18" s="1"/>
      <c r="H18" s="86">
        <f>If(Miscellaneous!E18*Custom!C$5&gt; 256, "", Miscellaneous!E18*Custom!C$5)</f>
        <v>48</v>
      </c>
      <c r="I18" s="110"/>
      <c r="J18" s="110"/>
    </row>
    <row r="19">
      <c r="A19" s="1"/>
      <c r="B19" s="45" t="s">
        <v>125</v>
      </c>
      <c r="C19" s="109">
        <v>320.0</v>
      </c>
      <c r="D19" s="1"/>
      <c r="G19" s="1"/>
      <c r="H19" s="86">
        <f>If(Miscellaneous!E19*Custom!C$5&gt; 256, "", Miscellaneous!E19*Custom!C$5)</f>
        <v>51</v>
      </c>
      <c r="I19" s="110"/>
      <c r="J19" s="110"/>
    </row>
    <row r="20">
      <c r="A20" s="1"/>
      <c r="B20" s="45" t="s">
        <v>114</v>
      </c>
      <c r="C20" s="44">
        <f>C15*C14</f>
        <v>990</v>
      </c>
      <c r="D20" s="1"/>
      <c r="G20" s="1"/>
      <c r="H20" s="86">
        <f>If(Miscellaneous!E20*Custom!C$5&gt; 256, "", Miscellaneous!E20*Custom!C$5)</f>
        <v>54</v>
      </c>
      <c r="I20" s="110"/>
      <c r="J20" s="110"/>
    </row>
    <row r="21">
      <c r="A21" s="1"/>
      <c r="B21" s="45" t="s">
        <v>131</v>
      </c>
      <c r="C21" s="44">
        <f>C19*C14</f>
        <v>5760</v>
      </c>
      <c r="D21" s="1"/>
      <c r="G21" s="1"/>
      <c r="H21" s="86">
        <f>If(Miscellaneous!E21*Custom!C$5&gt; 256, "", Miscellaneous!E21*Custom!C$5)</f>
        <v>57</v>
      </c>
      <c r="I21" s="110"/>
      <c r="J21" s="110"/>
    </row>
    <row r="22">
      <c r="A22" s="1"/>
      <c r="B22" s="51" t="s">
        <v>139</v>
      </c>
      <c r="C22" s="53">
        <f>C18*C14</f>
        <v>27000</v>
      </c>
      <c r="D22" s="1"/>
      <c r="G22" s="1"/>
      <c r="H22" s="86">
        <f>If(Miscellaneous!E22*Custom!C$5&gt; 256, "", Miscellaneous!E22*Custom!C$5)</f>
        <v>60</v>
      </c>
      <c r="I22" s="110"/>
      <c r="J22" s="110"/>
    </row>
    <row r="23">
      <c r="A23" s="1"/>
      <c r="B23" s="1"/>
      <c r="C23" s="75"/>
      <c r="D23" s="1"/>
      <c r="E23" s="1"/>
      <c r="F23" s="1"/>
      <c r="G23" s="1"/>
      <c r="H23" s="86">
        <f>If(Miscellaneous!E23*Custom!C$5&gt; 256, "", Miscellaneous!E23*Custom!C$5)</f>
        <v>63</v>
      </c>
      <c r="I23" s="110"/>
      <c r="J23" s="110"/>
    </row>
    <row r="24">
      <c r="A24" s="1"/>
      <c r="B24" s="10" t="s">
        <v>155</v>
      </c>
      <c r="C24" s="55"/>
      <c r="D24" s="1"/>
      <c r="G24" s="1"/>
      <c r="H24" s="86">
        <f>If(Miscellaneous!E24*Custom!C$5&gt; 256, "", Miscellaneous!E24*Custom!C$5)</f>
        <v>66</v>
      </c>
      <c r="I24" s="110"/>
      <c r="J24" s="110"/>
    </row>
    <row r="25">
      <c r="A25" s="1"/>
      <c r="B25" s="119" t="s">
        <v>160</v>
      </c>
      <c r="C25" s="120">
        <f>Switch(Custom!ResiliencyTarget, "None", 1, "Rack/AZ", (Custom!AZ/(Custom!AZ-C6)), "Node", (Custom!InstanceCount/(Custom!InstanceCount-Custom!NodeFailure)))</f>
        <v>1.090909091</v>
      </c>
      <c r="D25" s="1"/>
      <c r="G25" s="1"/>
      <c r="H25" s="86">
        <f>If(Miscellaneous!E25*Custom!C$5&gt; 256, "", Miscellaneous!E25*Custom!C$5)</f>
        <v>69</v>
      </c>
      <c r="I25" s="110"/>
      <c r="J25" s="110"/>
    </row>
    <row r="26">
      <c r="A26" s="1"/>
      <c r="B26" s="1"/>
      <c r="C26" s="75"/>
      <c r="D26" s="1"/>
      <c r="G26" s="1"/>
      <c r="H26" s="86">
        <f>If(Miscellaneous!E26*Custom!C$5&gt; 256, "", Miscellaneous!E26*Custom!C$5)</f>
        <v>75</v>
      </c>
      <c r="I26" s="110"/>
      <c r="J26" s="110"/>
    </row>
    <row r="27">
      <c r="A27" s="1"/>
      <c r="B27" s="54" t="s">
        <v>1325</v>
      </c>
      <c r="C27" s="55"/>
      <c r="D27" s="1"/>
      <c r="E27" s="54" t="s">
        <v>168</v>
      </c>
      <c r="F27" s="55"/>
      <c r="G27" s="1"/>
      <c r="H27" s="86">
        <f>If(Miscellaneous!E27*Custom!C$5&gt; 256, "", Miscellaneous!E27*Custom!C$5)</f>
        <v>78</v>
      </c>
      <c r="I27" s="110"/>
      <c r="J27" s="110"/>
    </row>
    <row r="28">
      <c r="A28" s="1"/>
      <c r="B28" s="41" t="s">
        <v>172</v>
      </c>
      <c r="C28" s="14"/>
      <c r="D28" s="1"/>
      <c r="E28" s="74" t="s">
        <v>173</v>
      </c>
      <c r="F28" s="14"/>
      <c r="G28" s="1"/>
      <c r="H28" s="86">
        <f>If(Miscellaneous!E28*Custom!C$5&gt; 256, "", Miscellaneous!E28*Custom!C$5)</f>
        <v>81</v>
      </c>
      <c r="I28" s="110"/>
      <c r="J28" s="110"/>
    </row>
    <row r="29">
      <c r="A29" s="1"/>
      <c r="B29" s="42" t="str">
        <f>Workload!B62</f>
        <v>Minimum Ram Required (GB)</v>
      </c>
      <c r="C29" s="44">
        <f>MinRam * Custom!Multiplier</f>
        <v>312.157049</v>
      </c>
      <c r="D29" s="1"/>
      <c r="E29" s="42" t="s">
        <v>178</v>
      </c>
      <c r="F29" s="44">
        <f>Custom!InstanceCount*Custom!InstanceRamSize</f>
        <v>3072</v>
      </c>
      <c r="G29" s="1"/>
      <c r="H29" s="86">
        <f>If(Miscellaneous!E29*Custom!C$5&gt; 256, "", Miscellaneous!E29*Custom!C$5)</f>
        <v>84</v>
      </c>
      <c r="I29" s="110"/>
      <c r="J29" s="110"/>
    </row>
    <row r="30">
      <c r="A30" s="1"/>
      <c r="B30" s="42" t="str">
        <f>Workload!B63</f>
        <v>Minimum Disk Required (GB)</v>
      </c>
      <c r="C30" s="44">
        <f>MinDisk * Custom!Multiplier</f>
        <v>8377.732272</v>
      </c>
      <c r="D30" s="1"/>
      <c r="E30" s="42" t="s">
        <v>182</v>
      </c>
      <c r="F30" s="44">
        <f> Custom!InstanceCount*Custom!InstanceDiskSize * (1 - Custom!DiskOverprovisioning)</f>
        <v>10692</v>
      </c>
      <c r="G30" s="1"/>
      <c r="H30" s="86">
        <f>If(Miscellaneous!E30*Custom!C$5&gt; 256, "", Miscellaneous!E30*Custom!C$5)</f>
        <v>87</v>
      </c>
      <c r="I30" s="110"/>
      <c r="J30" s="110"/>
    </row>
    <row r="31">
      <c r="A31" s="1"/>
      <c r="B31" s="42" t="str">
        <f>Workload!B64</f>
        <v>Disk to Ram Ratio</v>
      </c>
      <c r="C31" s="61">
        <f>DomainModelDiskToRamRatio</f>
        <v>26.83819667</v>
      </c>
      <c r="D31" s="1"/>
      <c r="E31" s="42" t="s">
        <v>60</v>
      </c>
      <c r="F31" s="61">
        <f>Custom!TotalGuaranteedDisk/Custom!TotalGuaranteedRam</f>
        <v>3.48046875</v>
      </c>
      <c r="G31" s="1"/>
      <c r="H31" s="86">
        <f>If(Miscellaneous!E31*Custom!C$5&gt; 256, "", Miscellaneous!E31*Custom!C$5)</f>
        <v>90</v>
      </c>
      <c r="I31" s="110"/>
      <c r="J31" s="110"/>
    </row>
    <row r="32">
      <c r="A32" s="1"/>
      <c r="B32" s="74" t="str">
        <f>Workload!B92</f>
        <v>Throughput</v>
      </c>
      <c r="C32" s="14"/>
      <c r="D32" s="1"/>
      <c r="E32" s="41" t="s">
        <v>189</v>
      </c>
      <c r="F32" s="14"/>
      <c r="G32" s="1"/>
      <c r="H32" s="86">
        <f>If(Miscellaneous!E32*Custom!C$5&gt; 256, "", Miscellaneous!E32*Custom!C$5)</f>
        <v>93</v>
      </c>
      <c r="I32" s="110"/>
      <c r="J32" s="110"/>
    </row>
    <row r="33">
      <c r="A33" s="1"/>
      <c r="B33" s="123" t="s">
        <v>193</v>
      </c>
      <c r="C33" s="44">
        <f>(PeakDiskReadThroughput + PeakDiskWriteThroughput) * Custom!Multiplier</f>
        <v>4533.025568</v>
      </c>
      <c r="D33" s="1"/>
      <c r="E33" s="123" t="s">
        <v>193</v>
      </c>
      <c r="F33" s="124">
        <f>Custom!InstanceThroughput*Custom!InstanceCount</f>
        <v>324000</v>
      </c>
      <c r="G33" s="1"/>
      <c r="H33" s="86">
        <f>If(Miscellaneous!E33*Custom!C$5&gt; 256, "", Miscellaneous!E33*Custom!C$5)</f>
        <v>96</v>
      </c>
      <c r="I33" s="110"/>
      <c r="J33" s="110"/>
    </row>
    <row r="34">
      <c r="A34" s="1"/>
      <c r="B34" s="45" t="s">
        <v>199</v>
      </c>
      <c r="C34" s="44">
        <f>(PeakReadIOPS + PeakWriteIOPS*RF_1)*Custom!Multiplier</f>
        <v>1305.390545</v>
      </c>
      <c r="D34" s="1"/>
      <c r="E34" s="125" t="s">
        <v>200</v>
      </c>
      <c r="F34" s="124">
        <f>Custom!InstanceIOPS*Custom!InstanceCount</f>
        <v>69120</v>
      </c>
      <c r="G34" s="1"/>
      <c r="H34" s="86">
        <f>If(Miscellaneous!E34*Custom!C$5&gt; 256, "", Miscellaneous!E34*Custom!C$5)</f>
        <v>99</v>
      </c>
      <c r="I34" s="110"/>
      <c r="J34" s="110"/>
    </row>
    <row r="35">
      <c r="A35" s="1"/>
      <c r="B35" s="41" t="s">
        <v>205</v>
      </c>
      <c r="C35" s="14"/>
      <c r="D35" s="1"/>
      <c r="E35" s="41" t="s">
        <v>206</v>
      </c>
      <c r="F35" s="14"/>
      <c r="G35" s="1"/>
      <c r="H35" s="86">
        <f>If(Miscellaneous!E35*Custom!C$5&gt; 256, "", Miscellaneous!E35*Custom!C$5)</f>
        <v>102</v>
      </c>
      <c r="I35" s="110"/>
      <c r="J35" s="110"/>
    </row>
    <row r="36">
      <c r="A36" s="1"/>
      <c r="B36" s="51" t="s">
        <v>61</v>
      </c>
      <c r="C36" s="126">
        <f>PageCacheSize </f>
        <v>0</v>
      </c>
      <c r="D36" s="1"/>
      <c r="E36" s="42" t="s">
        <v>209</v>
      </c>
      <c r="F36" s="44">
        <f>Custom!InstanceCount*Custom!InstanceCpuCount</f>
        <v>384</v>
      </c>
      <c r="G36" s="1"/>
      <c r="H36" s="86">
        <f>If(Miscellaneous!E36*Custom!C$5&gt; 256, "", Miscellaneous!E36*Custom!C$5)</f>
        <v>105</v>
      </c>
      <c r="I36" s="110"/>
      <c r="J36" s="110"/>
    </row>
    <row r="37">
      <c r="A37" s="1"/>
      <c r="B37" s="1"/>
      <c r="C37" s="1"/>
      <c r="D37" s="1"/>
      <c r="E37" s="117" t="s">
        <v>107</v>
      </c>
      <c r="F37" s="126">
        <f>Custom!InstanceDiskCount*Custom!InstanceCount</f>
        <v>216</v>
      </c>
      <c r="G37" s="1"/>
      <c r="H37" s="86">
        <f>If(Miscellaneous!E37*Custom!C$5&gt; 256, "", Miscellaneous!E37*Custom!C$5)</f>
        <v>108</v>
      </c>
      <c r="I37" s="110"/>
      <c r="J37" s="110"/>
    </row>
    <row r="38">
      <c r="A38" s="1"/>
      <c r="B38" s="54" t="s">
        <v>263</v>
      </c>
      <c r="C38" s="55"/>
      <c r="D38" s="1"/>
      <c r="E38" s="1"/>
      <c r="F38" s="1"/>
      <c r="G38" s="1"/>
      <c r="H38" s="86">
        <f>If(Miscellaneous!E38*Custom!C$5&gt; 256, "", Miscellaneous!E38*Custom!C$5)</f>
        <v>111</v>
      </c>
      <c r="I38" s="110"/>
      <c r="J38" s="110"/>
    </row>
    <row r="39">
      <c r="A39" s="1"/>
      <c r="B39" s="41" t="s">
        <v>219</v>
      </c>
      <c r="C39" s="14"/>
      <c r="D39" s="1"/>
      <c r="E39" s="1"/>
      <c r="F39" s="1"/>
      <c r="G39" s="1"/>
      <c r="H39" s="86">
        <f>If(Miscellaneous!E39*Custom!C$5&gt; 256, "", Miscellaneous!E39*Custom!C$5)</f>
        <v>114</v>
      </c>
      <c r="I39" s="110"/>
      <c r="J39" s="110"/>
    </row>
    <row r="40">
      <c r="A40" s="1"/>
      <c r="B40" s="45" t="s">
        <v>222</v>
      </c>
      <c r="C40" s="44">
        <f>(If(Custom!AZ=1, 0, ((Custom!AZ-1)/Custom!AZ) * 
(AvgRecordSize1*AvgObjWPS1*SecondsInAYear + 
AvgRecordSize2*AvgObjWPS2*SecondsInAYear + 
AvgRecordSize3*AvgObjWPS3*SecondsInAYear + 
AvgRecordSize4*AvgObjWPS4*SecondsInAYear + 
AvgRecordSize5*AvgObjWPS5*SecondsInAYear) ) /GB)</f>
        <v>401000.9766</v>
      </c>
      <c r="D40" s="1"/>
      <c r="E40" s="1"/>
      <c r="F40" s="1"/>
      <c r="G40" s="1"/>
      <c r="H40" s="86">
        <f>If(Miscellaneous!E40*Custom!C$5&gt; 256, "", Miscellaneous!E40*Custom!C$5)</f>
        <v>117</v>
      </c>
      <c r="I40" s="110"/>
      <c r="J40" s="110"/>
    </row>
    <row r="41">
      <c r="A41" s="1"/>
      <c r="B41" s="45" t="s">
        <v>225</v>
      </c>
      <c r="C41" s="44">
        <f>(IF(Custom!AZ=1, 0, (RF_1-1) * 
(AvgRecordSize1*AvgObjWPS1*SecondsInAYear + 
 AvgRecordSize2*AvgObjWPS2*SecondsInAYear + 
 AvgRecordSize3*AvgObjWPS3*SecondsInAYear + 
 AvgRecordSize4*AvgObjWPS4*SecondsInAYear + 
 AvgRecordSize5*AvgObjWPS5*SecondsInAYear))/GB)</f>
        <v>1203002.93</v>
      </c>
      <c r="D41" s="1"/>
      <c r="E41" s="1"/>
      <c r="F41" s="1"/>
      <c r="G41" s="1"/>
      <c r="H41" s="86">
        <f>If(Miscellaneous!E41*Custom!C$5&gt; 256, "", Miscellaneous!E41*Custom!C$5)</f>
        <v>120</v>
      </c>
      <c r="I41" s="110"/>
      <c r="J41" s="110"/>
    </row>
    <row r="42">
      <c r="A42" s="1"/>
      <c r="B42" s="45" t="s">
        <v>230</v>
      </c>
      <c r="C42" s="44">
        <f>IF(Custom!AZ=1, 0, If(Custom!ReadFromNearAZ, IF(RF_1 &gt;= Custom!AZ, 0, ((Custom!AZ-RF_1)/Custom!AZ)), (Custom!AZ-1)/Custom!AZ)) *
(AvgRecordSize1*AvgObjRPS1*(1-NotFoundRate1)*SecondsInAYear + 
 AvgRecordSize2*AvgObjRPS2*(1-NotFoundRate2)*SecondsInAYear + 
 AvgRecordSize3*AvgObjRPS3*(1-NotFoundRate3)*SecondsInAYear + 
 AvgRecordSize4*AvgObjRPS4*(1-NotFoundRate4)*SecondsInAYear + 
 AvgRecordSize5*AvgObjRPS5*(1-NotFoundRate5)*SecondsInAYear 
)/GB</f>
        <v>20050048.83</v>
      </c>
      <c r="D42" s="1"/>
      <c r="E42" s="1"/>
      <c r="F42" s="1"/>
      <c r="G42" s="1"/>
      <c r="H42" s="86">
        <f>If(Miscellaneous!E42*Custom!C$5&gt; 256, "", Miscellaneous!E42*Custom!C$5)</f>
        <v>123</v>
      </c>
      <c r="I42" s="110"/>
      <c r="J42" s="110"/>
    </row>
    <row r="43">
      <c r="A43" s="1"/>
      <c r="B43" s="41" t="s">
        <v>233</v>
      </c>
      <c r="C43" s="14"/>
      <c r="D43" s="1"/>
      <c r="E43" s="1"/>
      <c r="F43" s="1"/>
      <c r="G43" s="1"/>
      <c r="H43" s="86">
        <f>If(Miscellaneous!E43*Custom!C$5&gt; 256, "", Miscellaneous!E43*Custom!C$5)</f>
        <v>126</v>
      </c>
      <c r="I43" s="110"/>
      <c r="J43" s="110"/>
    </row>
    <row r="44">
      <c r="A44" s="1"/>
      <c r="B44" s="45" t="s">
        <v>237</v>
      </c>
      <c r="C44" s="153">
        <v>0.05</v>
      </c>
      <c r="D44" s="1"/>
      <c r="E44" s="1"/>
      <c r="F44" s="1"/>
      <c r="G44" s="1"/>
      <c r="H44" s="86">
        <f>If(Miscellaneous!E44*Custom!C$5&gt; 256, "", Miscellaneous!E44*Custom!C$5)</f>
        <v>129</v>
      </c>
      <c r="I44" s="110"/>
      <c r="J44" s="110"/>
    </row>
    <row r="45">
      <c r="A45" s="1"/>
      <c r="B45" s="45" t="s">
        <v>240</v>
      </c>
      <c r="C45" s="131">
        <f>(Custom!AZTransferByWrite+Custom!AZTransferByWriteReplication)*Custom!AZTransferCost</f>
        <v>80200.19531</v>
      </c>
      <c r="D45" s="1"/>
      <c r="E45" s="1"/>
      <c r="F45" s="1"/>
      <c r="G45" s="1"/>
      <c r="H45" s="86">
        <f>If(Miscellaneous!E45*Custom!C$5&gt; 256, "", Miscellaneous!E45*Custom!C$5)</f>
        <v>132</v>
      </c>
      <c r="I45" s="110"/>
      <c r="J45" s="110"/>
    </row>
    <row r="46">
      <c r="A46" s="1"/>
      <c r="B46" s="51" t="s">
        <v>244</v>
      </c>
      <c r="C46" s="132">
        <f>Custom!AZTransferByRead*Custom!AZTransferCost</f>
        <v>1002502.441</v>
      </c>
      <c r="D46" s="1"/>
      <c r="E46" s="1"/>
      <c r="F46" s="1"/>
      <c r="G46" s="1"/>
      <c r="H46" s="86">
        <f>If(Miscellaneous!E46*Custom!C$5&gt; 256, "", Miscellaneous!E46*Custom!C$5)</f>
        <v>135</v>
      </c>
      <c r="I46" s="110"/>
      <c r="J46" s="110"/>
    </row>
    <row r="47">
      <c r="A47" s="1"/>
      <c r="B47" s="1"/>
      <c r="C47" s="1"/>
      <c r="D47" s="1"/>
      <c r="E47" s="1"/>
      <c r="F47" s="1"/>
      <c r="G47" s="1"/>
      <c r="H47" s="86">
        <f>If(Miscellaneous!E47*Custom!C$5&gt; 256, "", Miscellaneous!E47*Custom!C$5)</f>
        <v>138</v>
      </c>
      <c r="I47" s="110"/>
      <c r="J47" s="110"/>
    </row>
    <row r="48">
      <c r="A48" s="1"/>
      <c r="B48" s="77" t="s">
        <v>248</v>
      </c>
      <c r="C48" s="55"/>
      <c r="D48" s="1"/>
      <c r="E48" s="1"/>
      <c r="F48" s="1"/>
      <c r="G48" s="1"/>
      <c r="H48" s="86">
        <f>If(Miscellaneous!E48*Custom!C$5&gt; 256, "", Miscellaneous!E48*Custom!C$5)</f>
        <v>141</v>
      </c>
      <c r="I48" s="110"/>
      <c r="J48" s="110"/>
    </row>
    <row r="49">
      <c r="A49" s="1"/>
      <c r="B49" s="42" t="s">
        <v>250</v>
      </c>
      <c r="C49" s="44">
        <f>UniqueData</f>
        <v>1144.40918</v>
      </c>
      <c r="D49" s="1"/>
      <c r="E49" s="1"/>
      <c r="F49" s="1"/>
      <c r="G49" s="1"/>
      <c r="H49" s="86">
        <f>If(Miscellaneous!E49*Custom!C$5&gt; 256, "", Miscellaneous!E49*Custom!C$5)</f>
        <v>144</v>
      </c>
      <c r="I49" s="110"/>
      <c r="J49" s="110"/>
    </row>
    <row r="50">
      <c r="A50" s="1"/>
      <c r="B50" s="74" t="s">
        <v>253</v>
      </c>
      <c r="C50" s="14"/>
      <c r="D50" s="1"/>
      <c r="E50" s="1"/>
      <c r="F50" s="1"/>
      <c r="G50" s="1"/>
      <c r="H50" s="86">
        <f>If(Miscellaneous!E50*Custom!C$5&gt; 256, "", Miscellaneous!E50*Custom!C$5)</f>
        <v>147</v>
      </c>
      <c r="I50" s="110"/>
      <c r="J50" s="110"/>
    </row>
    <row r="51">
      <c r="A51" s="1"/>
      <c r="B51" s="42" t="s">
        <v>256</v>
      </c>
      <c r="C51" s="131">
        <f>C17*C10</f>
        <v>21240.96</v>
      </c>
      <c r="D51" s="1"/>
      <c r="E51" s="1"/>
      <c r="F51" s="1"/>
      <c r="G51" s="1"/>
      <c r="H51" s="86">
        <f>If(Miscellaneous!E51*Custom!C$5&gt; 256, "", Miscellaneous!E51*Custom!C$5)</f>
        <v>150</v>
      </c>
      <c r="I51" s="110"/>
      <c r="J51" s="110"/>
    </row>
    <row r="52">
      <c r="A52" s="1"/>
      <c r="B52" s="42" t="s">
        <v>260</v>
      </c>
      <c r="C52" s="131">
        <f>C51*12</f>
        <v>254891.52</v>
      </c>
      <c r="D52" s="1"/>
      <c r="E52" s="1"/>
      <c r="F52" s="1"/>
      <c r="G52" s="1"/>
      <c r="H52" s="86">
        <f>If(Miscellaneous!E52*Custom!C$5&gt; 256, "", Miscellaneous!E52*Custom!C$5)</f>
        <v>153</v>
      </c>
      <c r="I52" s="110"/>
      <c r="J52" s="110"/>
    </row>
    <row r="53">
      <c r="A53" s="1"/>
      <c r="B53" s="70" t="s">
        <v>263</v>
      </c>
      <c r="C53" s="14"/>
      <c r="D53" s="1"/>
      <c r="E53" s="1"/>
      <c r="F53" s="1"/>
      <c r="G53" s="1"/>
      <c r="H53" s="86">
        <f>If(Miscellaneous!E53*Custom!C$5&gt; 256, "", Miscellaneous!E53*Custom!C$5)</f>
        <v>156</v>
      </c>
      <c r="I53" s="110"/>
      <c r="J53" s="110"/>
    </row>
    <row r="54">
      <c r="A54" s="1"/>
      <c r="B54" s="71" t="s">
        <v>256</v>
      </c>
      <c r="C54" s="131">
        <f>C55/12</f>
        <v>90225.21973</v>
      </c>
      <c r="D54" s="1"/>
      <c r="E54" s="1"/>
      <c r="F54" s="1"/>
      <c r="G54" s="1"/>
      <c r="H54" s="86">
        <f>If(Miscellaneous!E54*Custom!C$5&gt; 256, "", Miscellaneous!E54*Custom!C$5)</f>
        <v>159</v>
      </c>
      <c r="I54" s="110"/>
      <c r="J54" s="110"/>
    </row>
    <row r="55">
      <c r="A55" s="1"/>
      <c r="B55" s="71" t="s">
        <v>260</v>
      </c>
      <c r="C55" s="131">
        <f>Sum(C45:C46)</f>
        <v>1082702.637</v>
      </c>
      <c r="D55" s="1"/>
      <c r="E55" s="1"/>
      <c r="F55" s="1"/>
      <c r="G55" s="1"/>
      <c r="H55" s="86">
        <f>If(Miscellaneous!E55*Custom!C$5&gt; 256, "", Miscellaneous!E55*Custom!C$5)</f>
        <v>162</v>
      </c>
      <c r="I55" s="110"/>
      <c r="J55" s="110"/>
    </row>
    <row r="56">
      <c r="A56" s="1"/>
      <c r="B56" s="70" t="s">
        <v>271</v>
      </c>
      <c r="C56" s="14"/>
      <c r="D56" s="1"/>
      <c r="E56" s="1"/>
      <c r="F56" s="1"/>
      <c r="G56" s="1"/>
      <c r="H56" s="86">
        <f>If(Miscellaneous!E56*Custom!C$5&gt; 256, "", Miscellaneous!E56*Custom!C$5)</f>
        <v>165</v>
      </c>
      <c r="I56" s="110"/>
      <c r="J56" s="110"/>
    </row>
    <row r="57">
      <c r="A57" s="1"/>
      <c r="B57" s="71" t="s">
        <v>256</v>
      </c>
      <c r="C57" s="131">
        <f t="shared" ref="C57:C58" si="1">C51+C54</f>
        <v>111466.1797</v>
      </c>
      <c r="D57" s="1"/>
      <c r="E57" s="1"/>
      <c r="F57" s="1"/>
      <c r="G57" s="1"/>
      <c r="H57" s="86">
        <f>If(Miscellaneous!E57*Custom!C$5&gt; 256, "", Miscellaneous!E57*Custom!C$5)</f>
        <v>168</v>
      </c>
      <c r="I57" s="110"/>
      <c r="J57" s="110"/>
    </row>
    <row r="58">
      <c r="A58" s="1"/>
      <c r="B58" s="72" t="s">
        <v>260</v>
      </c>
      <c r="C58" s="132">
        <f t="shared" si="1"/>
        <v>1337594.157</v>
      </c>
      <c r="D58" s="1"/>
      <c r="E58" s="1"/>
      <c r="F58" s="1"/>
      <c r="G58" s="1"/>
      <c r="H58" s="86">
        <f>If(Miscellaneous!E58*Custom!C$5&gt; 256, "", Miscellaneous!E58*Custom!C$5)</f>
        <v>171</v>
      </c>
      <c r="I58" s="110"/>
      <c r="J58" s="110"/>
    </row>
    <row r="59">
      <c r="A59" s="1"/>
      <c r="B59" s="1"/>
      <c r="C59" s="1"/>
      <c r="D59" s="1"/>
      <c r="E59" s="1"/>
      <c r="F59" s="1"/>
      <c r="G59" s="1"/>
      <c r="H59" s="86">
        <f>If(Miscellaneous!E59*Custom!C$5&gt; 256, "", Miscellaneous!E59*Custom!C$5)</f>
        <v>174</v>
      </c>
      <c r="I59" s="110"/>
      <c r="J59" s="110"/>
    </row>
    <row r="60">
      <c r="A60" s="1"/>
      <c r="B60" s="1"/>
      <c r="C60" s="1"/>
      <c r="D60" s="1"/>
      <c r="E60" s="1"/>
      <c r="F60" s="1"/>
      <c r="G60" s="1"/>
      <c r="H60" s="86">
        <f>If(Miscellaneous!E60*Custom!C$5&gt; 256, "", Miscellaneous!E60*Custom!C$5)</f>
        <v>177</v>
      </c>
      <c r="I60" s="110"/>
      <c r="J60" s="110"/>
    </row>
    <row r="61">
      <c r="A61" s="1"/>
      <c r="B61" s="1"/>
      <c r="C61" s="1"/>
      <c r="D61" s="1"/>
      <c r="E61" s="1"/>
      <c r="F61" s="1"/>
      <c r="G61" s="1"/>
      <c r="H61" s="86">
        <f>If(Miscellaneous!E61*Custom!C$5&gt; 256, "", Miscellaneous!E61*Custom!C$5)</f>
        <v>180</v>
      </c>
      <c r="I61" s="110"/>
      <c r="J61" s="110"/>
    </row>
    <row r="62">
      <c r="A62" s="1"/>
      <c r="B62" s="1"/>
      <c r="C62" s="1"/>
      <c r="D62" s="1"/>
      <c r="E62" s="1"/>
      <c r="F62" s="1"/>
      <c r="G62" s="1"/>
      <c r="H62" s="86">
        <f>If(Miscellaneous!E62*Custom!C$5&gt; 256, "", Miscellaneous!E62*Custom!C$5)</f>
        <v>183</v>
      </c>
      <c r="I62" s="110"/>
      <c r="J62" s="110"/>
    </row>
    <row r="63">
      <c r="A63" s="1"/>
      <c r="B63" s="1"/>
      <c r="C63" s="1"/>
      <c r="D63" s="1"/>
      <c r="E63" s="1"/>
      <c r="F63" s="1"/>
      <c r="G63" s="1"/>
      <c r="H63" s="86">
        <f>If(Miscellaneous!E63*Custom!C$5&gt; 256, "", Miscellaneous!E63*Custom!C$5)</f>
        <v>186</v>
      </c>
      <c r="I63" s="110"/>
      <c r="J63" s="110"/>
    </row>
    <row r="64">
      <c r="A64" s="1"/>
      <c r="B64" s="1"/>
      <c r="C64" s="1"/>
      <c r="D64" s="1"/>
      <c r="E64" s="1"/>
      <c r="F64" s="1"/>
      <c r="G64" s="1"/>
      <c r="H64" s="86">
        <f>If(Miscellaneous!E64*Custom!C$5&gt; 256, "", Miscellaneous!E64*Custom!C$5)</f>
        <v>189</v>
      </c>
      <c r="I64" s="110"/>
      <c r="J64" s="110"/>
    </row>
    <row r="65">
      <c r="A65" s="1"/>
      <c r="B65" s="1"/>
      <c r="C65" s="1"/>
      <c r="D65" s="1"/>
      <c r="E65" s="1"/>
      <c r="F65" s="1"/>
      <c r="G65" s="1"/>
      <c r="H65" s="86">
        <f>If(Miscellaneous!E65*Custom!C$5&gt; 256, "", Miscellaneous!E65*Custom!C$5)</f>
        <v>192</v>
      </c>
      <c r="I65" s="110"/>
      <c r="J65" s="110"/>
    </row>
    <row r="66">
      <c r="A66" s="1"/>
      <c r="B66" s="1"/>
      <c r="C66" s="1"/>
      <c r="D66" s="1"/>
      <c r="E66" s="1"/>
      <c r="F66" s="1"/>
      <c r="G66" s="1"/>
      <c r="H66" s="86">
        <f>If(Miscellaneous!E66*Custom!C$5&gt; 256, "", Miscellaneous!E66*Custom!C$5)</f>
        <v>195</v>
      </c>
      <c r="I66" s="110"/>
      <c r="J66" s="110"/>
    </row>
    <row r="67">
      <c r="A67" s="1"/>
      <c r="B67" s="1"/>
      <c r="C67" s="1"/>
      <c r="D67" s="1"/>
      <c r="E67" s="1"/>
      <c r="F67" s="1"/>
      <c r="G67" s="1"/>
      <c r="H67" s="86">
        <f>If(Miscellaneous!E67*Custom!C$5&gt; 256, "", Miscellaneous!E67*Custom!C$5)</f>
        <v>198</v>
      </c>
      <c r="I67" s="110"/>
      <c r="J67" s="110"/>
    </row>
    <row r="68">
      <c r="A68" s="1"/>
      <c r="B68" s="1"/>
      <c r="C68" s="1"/>
      <c r="D68" s="1"/>
      <c r="E68" s="1"/>
      <c r="F68" s="1"/>
      <c r="G68" s="1"/>
      <c r="H68" s="86">
        <f>If(Miscellaneous!E68*Custom!C$5&gt; 256, "", Miscellaneous!E68*Custom!C$5)</f>
        <v>201</v>
      </c>
      <c r="I68" s="110"/>
      <c r="J68" s="110"/>
    </row>
    <row r="69">
      <c r="A69" s="1"/>
      <c r="B69" s="1"/>
      <c r="C69" s="1"/>
      <c r="D69" s="1"/>
      <c r="E69" s="1"/>
      <c r="F69" s="1"/>
      <c r="G69" s="1"/>
      <c r="H69" s="86">
        <f>If(Miscellaneous!E69*Custom!C$5&gt; 256, "", Miscellaneous!E69*Custom!C$5)</f>
        <v>204</v>
      </c>
      <c r="I69" s="110"/>
      <c r="J69" s="110"/>
    </row>
    <row r="70">
      <c r="A70" s="1"/>
      <c r="B70" s="1"/>
      <c r="C70" s="1"/>
      <c r="D70" s="1"/>
      <c r="E70" s="1"/>
      <c r="F70" s="1"/>
      <c r="G70" s="1"/>
      <c r="H70" s="86">
        <f>If(Miscellaneous!E70*Custom!C$5&gt; 256, "", Miscellaneous!E70*Custom!C$5)</f>
        <v>207</v>
      </c>
      <c r="I70" s="110"/>
      <c r="J70" s="110"/>
    </row>
    <row r="71">
      <c r="A71" s="1"/>
      <c r="B71" s="1"/>
      <c r="C71" s="1"/>
      <c r="D71" s="1"/>
      <c r="E71" s="1"/>
      <c r="F71" s="1"/>
      <c r="G71" s="1"/>
      <c r="H71" s="86">
        <f>If(Miscellaneous!E71*Custom!C$5&gt; 256, "", Miscellaneous!E71*Custom!C$5)</f>
        <v>210</v>
      </c>
      <c r="I71" s="110"/>
      <c r="J71" s="110"/>
    </row>
    <row r="72">
      <c r="A72" s="1"/>
      <c r="B72" s="1"/>
      <c r="C72" s="1"/>
      <c r="D72" s="1"/>
      <c r="E72" s="1"/>
      <c r="F72" s="1"/>
      <c r="G72" s="1"/>
      <c r="H72" s="86">
        <f>If(Miscellaneous!E72*Custom!C$5&gt; 256, "", Miscellaneous!E72*Custom!C$5)</f>
        <v>213</v>
      </c>
      <c r="I72" s="110"/>
      <c r="J72" s="110"/>
    </row>
    <row r="73">
      <c r="A73" s="1"/>
      <c r="B73" s="1"/>
      <c r="C73" s="1"/>
      <c r="D73" s="1"/>
      <c r="E73" s="1"/>
      <c r="F73" s="1"/>
      <c r="G73" s="1"/>
      <c r="H73" s="86">
        <f>If(Miscellaneous!E73*Custom!C$5&gt; 256, "", Miscellaneous!E73*Custom!C$5)</f>
        <v>216</v>
      </c>
      <c r="I73" s="110"/>
      <c r="J73" s="110"/>
    </row>
    <row r="74">
      <c r="A74" s="1"/>
      <c r="B74" s="1"/>
      <c r="C74" s="1"/>
      <c r="D74" s="1"/>
      <c r="E74" s="1"/>
      <c r="F74" s="1"/>
      <c r="G74" s="1"/>
      <c r="H74" s="86">
        <f>If(Miscellaneous!E74*Custom!C$5&gt; 256, "", Miscellaneous!E74*Custom!C$5)</f>
        <v>219</v>
      </c>
      <c r="I74" s="110"/>
      <c r="J74" s="110"/>
    </row>
    <row r="75">
      <c r="A75" s="1"/>
      <c r="B75" s="1"/>
      <c r="C75" s="1"/>
      <c r="D75" s="1"/>
      <c r="E75" s="1"/>
      <c r="F75" s="1"/>
      <c r="G75" s="1"/>
      <c r="H75" s="86">
        <f>If(Miscellaneous!E75*Custom!C$5&gt; 256, "", Miscellaneous!E75*Custom!C$5)</f>
        <v>222</v>
      </c>
      <c r="I75" s="110"/>
      <c r="J75" s="110"/>
    </row>
    <row r="76">
      <c r="A76" s="1"/>
      <c r="B76" s="1"/>
      <c r="C76" s="1"/>
      <c r="D76" s="1"/>
      <c r="E76" s="1"/>
      <c r="F76" s="1"/>
      <c r="G76" s="1"/>
      <c r="H76" s="86">
        <f>If(Miscellaneous!E76*Custom!C$5&gt; 256, "", Miscellaneous!E76*Custom!C$5)</f>
        <v>225</v>
      </c>
      <c r="I76" s="110"/>
      <c r="J76" s="110"/>
    </row>
    <row r="77">
      <c r="A77" s="1"/>
      <c r="B77" s="1"/>
      <c r="C77" s="1"/>
      <c r="D77" s="1"/>
      <c r="E77" s="1"/>
      <c r="F77" s="1"/>
      <c r="G77" s="1"/>
      <c r="H77" s="86">
        <f>If(Miscellaneous!E77*Custom!C$5&gt; 256, "", Miscellaneous!E77*Custom!C$5)</f>
        <v>228</v>
      </c>
      <c r="I77" s="110"/>
      <c r="J77" s="110"/>
    </row>
    <row r="78">
      <c r="A78" s="1"/>
      <c r="B78" s="1"/>
      <c r="C78" s="1"/>
      <c r="D78" s="1"/>
      <c r="E78" s="1"/>
      <c r="F78" s="1"/>
      <c r="G78" s="1"/>
      <c r="H78" s="86">
        <f>If(Miscellaneous!E78*Custom!C$5&gt; 256, "", Miscellaneous!E78*Custom!C$5)</f>
        <v>231</v>
      </c>
      <c r="I78" s="110"/>
      <c r="J78" s="110"/>
    </row>
    <row r="79">
      <c r="A79" s="1"/>
      <c r="B79" s="1"/>
      <c r="C79" s="1"/>
      <c r="D79" s="1"/>
      <c r="E79" s="1"/>
      <c r="F79" s="1"/>
      <c r="G79" s="1"/>
      <c r="H79" s="86">
        <f>If(Miscellaneous!E79*Custom!C$5&gt; 256, "", Miscellaneous!E79*Custom!C$5)</f>
        <v>234</v>
      </c>
      <c r="I79" s="110"/>
      <c r="J79" s="110"/>
    </row>
    <row r="80">
      <c r="A80" s="1"/>
      <c r="B80" s="1"/>
      <c r="C80" s="1"/>
      <c r="D80" s="1"/>
      <c r="E80" s="1"/>
      <c r="F80" s="1"/>
      <c r="G80" s="1"/>
      <c r="H80" s="86">
        <f>If(Miscellaneous!E80*Custom!C$5&gt; 256, "", Miscellaneous!E80*Custom!C$5)</f>
        <v>237</v>
      </c>
      <c r="I80" s="110"/>
      <c r="J80" s="110"/>
    </row>
    <row r="81">
      <c r="A81" s="1"/>
      <c r="B81" s="1"/>
      <c r="C81" s="1"/>
      <c r="D81" s="1"/>
      <c r="E81" s="1"/>
      <c r="F81" s="1"/>
      <c r="G81" s="1"/>
      <c r="H81" s="86">
        <f>If(Miscellaneous!E81*Custom!C$5&gt; 256, "", Miscellaneous!E81*Custom!C$5)</f>
        <v>240</v>
      </c>
      <c r="I81" s="110"/>
      <c r="J81" s="110"/>
    </row>
    <row r="82">
      <c r="A82" s="1"/>
      <c r="B82" s="1"/>
      <c r="C82" s="1"/>
      <c r="D82" s="1"/>
      <c r="E82" s="1"/>
      <c r="F82" s="1"/>
      <c r="G82" s="1"/>
      <c r="H82" s="86">
        <f>If(Miscellaneous!E82*Custom!C$5&gt; 256, "", Miscellaneous!E82*Custom!C$5)</f>
        <v>243</v>
      </c>
      <c r="I82" s="110"/>
      <c r="J82" s="110"/>
    </row>
    <row r="83">
      <c r="A83" s="1"/>
      <c r="B83" s="1"/>
      <c r="C83" s="1"/>
      <c r="D83" s="1"/>
      <c r="E83" s="1"/>
      <c r="F83" s="1"/>
      <c r="G83" s="1"/>
      <c r="H83" s="86">
        <f>If(Miscellaneous!E83*Custom!C$5&gt; 256, "", Miscellaneous!E83*Custom!C$5)</f>
        <v>246</v>
      </c>
      <c r="I83" s="110"/>
      <c r="J83" s="110"/>
    </row>
    <row r="84">
      <c r="A84" s="1"/>
      <c r="B84" s="1"/>
      <c r="C84" s="1"/>
      <c r="D84" s="1"/>
      <c r="E84" s="1"/>
      <c r="F84" s="1"/>
      <c r="G84" s="1"/>
      <c r="H84" s="86">
        <f>If(Miscellaneous!E84*Custom!C$5&gt; 256, "", Miscellaneous!E84*Custom!C$5)</f>
        <v>249</v>
      </c>
      <c r="I84" s="110"/>
      <c r="J84" s="110"/>
    </row>
    <row r="85">
      <c r="A85" s="1"/>
      <c r="B85" s="1"/>
      <c r="C85" s="1"/>
      <c r="D85" s="1"/>
      <c r="E85" s="1"/>
      <c r="F85" s="1"/>
      <c r="G85" s="1"/>
      <c r="H85" s="86">
        <f>If(Miscellaneous!E85*Custom!C$5&gt; 256, "", Miscellaneous!E85*Custom!C$5)</f>
        <v>252</v>
      </c>
      <c r="I85" s="110"/>
      <c r="J85" s="110"/>
    </row>
    <row r="86">
      <c r="A86" s="1"/>
      <c r="B86" s="1"/>
      <c r="C86" s="1"/>
      <c r="D86" s="1"/>
      <c r="E86" s="1"/>
      <c r="F86" s="1"/>
      <c r="G86" s="1"/>
      <c r="H86" s="86">
        <f>If(Miscellaneous!E86*Custom!C$5&gt; 256, "", Miscellaneous!E86*Custom!C$5)</f>
        <v>255</v>
      </c>
      <c r="I86" s="110"/>
      <c r="J86" s="110"/>
    </row>
    <row r="87">
      <c r="A87" s="1"/>
      <c r="B87" s="1"/>
      <c r="C87" s="1"/>
      <c r="D87" s="1"/>
      <c r="E87" s="1"/>
      <c r="F87" s="1"/>
      <c r="G87" s="1"/>
      <c r="H87" s="86" t="str">
        <f>If(Miscellaneous!E87*Custom!C$5&gt; 256, "", Miscellaneous!E87*Custom!C$5)</f>
        <v/>
      </c>
      <c r="I87" s="110"/>
      <c r="J87" s="110"/>
    </row>
    <row r="88">
      <c r="A88" s="1"/>
      <c r="B88" s="1"/>
      <c r="C88" s="1"/>
      <c r="D88" s="1"/>
      <c r="E88" s="1"/>
      <c r="F88" s="1"/>
      <c r="G88" s="1"/>
      <c r="H88" s="86" t="str">
        <f>If(Miscellaneous!E88*Custom!C$5&gt; 256, "", Miscellaneous!E88*Custom!C$5)</f>
        <v/>
      </c>
      <c r="I88" s="110"/>
      <c r="J88" s="110"/>
    </row>
    <row r="89">
      <c r="A89" s="1"/>
      <c r="B89" s="1"/>
      <c r="C89" s="1"/>
      <c r="D89" s="1"/>
      <c r="E89" s="1"/>
      <c r="F89" s="1"/>
      <c r="G89" s="1"/>
      <c r="H89" s="86" t="str">
        <f>If(Miscellaneous!E89*Custom!C$5&gt; 256, "", Miscellaneous!E89*Custom!C$5)</f>
        <v/>
      </c>
      <c r="I89" s="110"/>
      <c r="J89" s="110"/>
    </row>
    <row r="90">
      <c r="A90" s="1"/>
      <c r="B90" s="1"/>
      <c r="C90" s="1"/>
      <c r="D90" s="1"/>
      <c r="E90" s="1"/>
      <c r="F90" s="1"/>
      <c r="G90" s="1"/>
      <c r="H90" s="86" t="str">
        <f>If(Miscellaneous!E90*Custom!C$5&gt; 256, "", Miscellaneous!E90*Custom!C$5)</f>
        <v/>
      </c>
      <c r="I90" s="110"/>
      <c r="J90" s="110"/>
    </row>
    <row r="91">
      <c r="A91" s="1"/>
      <c r="B91" s="1"/>
      <c r="C91" s="1"/>
      <c r="D91" s="1"/>
      <c r="E91" s="1"/>
      <c r="F91" s="1"/>
      <c r="G91" s="1"/>
      <c r="H91" s="86" t="str">
        <f>If(Miscellaneous!E91*Custom!C$5&gt; 256, "", Miscellaneous!E91*Custom!C$5)</f>
        <v/>
      </c>
      <c r="I91" s="110"/>
      <c r="J91" s="110"/>
    </row>
    <row r="92">
      <c r="A92" s="1"/>
      <c r="B92" s="1"/>
      <c r="C92" s="1"/>
      <c r="D92" s="1"/>
      <c r="E92" s="1"/>
      <c r="F92" s="1"/>
      <c r="G92" s="1"/>
      <c r="H92" s="86" t="str">
        <f>If(Miscellaneous!E92*Custom!C$5&gt; 256, "", Miscellaneous!E92*Custom!C$5)</f>
        <v/>
      </c>
      <c r="I92" s="110"/>
      <c r="J92" s="110"/>
    </row>
    <row r="93">
      <c r="A93" s="1"/>
      <c r="B93" s="1"/>
      <c r="C93" s="1"/>
      <c r="D93" s="1"/>
      <c r="E93" s="1"/>
      <c r="F93" s="1"/>
      <c r="G93" s="1"/>
      <c r="H93" s="86" t="str">
        <f>If(Miscellaneous!E93*Custom!C$5&gt; 256, "", Miscellaneous!E93*Custom!C$5)</f>
        <v/>
      </c>
      <c r="I93" s="110"/>
      <c r="J93" s="110"/>
    </row>
    <row r="94">
      <c r="A94" s="1"/>
      <c r="B94" s="1"/>
      <c r="C94" s="1"/>
      <c r="D94" s="1"/>
      <c r="E94" s="1"/>
      <c r="F94" s="1"/>
      <c r="G94" s="1"/>
      <c r="H94" s="86" t="str">
        <f>If(Miscellaneous!E94*Custom!C$5&gt; 256, "", Miscellaneous!E94*Custom!C$5)</f>
        <v/>
      </c>
      <c r="I94" s="110"/>
      <c r="J94" s="110"/>
    </row>
    <row r="95">
      <c r="A95" s="1"/>
      <c r="B95" s="1"/>
      <c r="C95" s="1"/>
      <c r="D95" s="1"/>
      <c r="E95" s="1"/>
      <c r="F95" s="1"/>
      <c r="G95" s="1"/>
      <c r="H95" s="86" t="str">
        <f>If(Miscellaneous!E95*Custom!C$5&gt; 256, "", Miscellaneous!E95*Custom!C$5)</f>
        <v/>
      </c>
      <c r="I95" s="110"/>
      <c r="J95" s="110"/>
    </row>
    <row r="96">
      <c r="A96" s="1"/>
      <c r="B96" s="1"/>
      <c r="C96" s="1"/>
      <c r="D96" s="1"/>
      <c r="E96" s="1"/>
      <c r="F96" s="1"/>
      <c r="G96" s="1"/>
      <c r="H96" s="86" t="str">
        <f>If(Miscellaneous!E96*Custom!C$5&gt; 256, "", Miscellaneous!E96*Custom!C$5)</f>
        <v/>
      </c>
      <c r="I96" s="110"/>
      <c r="J96" s="110"/>
    </row>
    <row r="97">
      <c r="A97" s="1"/>
      <c r="B97" s="1"/>
      <c r="C97" s="1"/>
      <c r="D97" s="1"/>
      <c r="E97" s="1"/>
      <c r="F97" s="1"/>
      <c r="G97" s="1"/>
      <c r="H97" s="86" t="str">
        <f>If(Miscellaneous!E97*Custom!C$5&gt; 256, "", Miscellaneous!E97*Custom!C$5)</f>
        <v/>
      </c>
      <c r="I97" s="110"/>
      <c r="J97" s="110"/>
    </row>
    <row r="98">
      <c r="A98" s="1"/>
      <c r="B98" s="1"/>
      <c r="C98" s="1"/>
      <c r="D98" s="1"/>
      <c r="E98" s="1"/>
      <c r="F98" s="1"/>
      <c r="G98" s="1"/>
      <c r="H98" s="86" t="str">
        <f>If(Miscellaneous!E98*Custom!C$5&gt; 256, "", Miscellaneous!E98*Custom!C$5)</f>
        <v/>
      </c>
      <c r="I98" s="110"/>
      <c r="J98" s="110"/>
    </row>
    <row r="99">
      <c r="A99" s="1"/>
      <c r="B99" s="1"/>
      <c r="C99" s="1"/>
      <c r="D99" s="1"/>
      <c r="E99" s="1"/>
      <c r="F99" s="1"/>
      <c r="G99" s="1"/>
      <c r="H99" s="86" t="str">
        <f>If(Miscellaneous!E99*Custom!C$5&gt; 256, "", Miscellaneous!E99*Custom!C$5)</f>
        <v/>
      </c>
      <c r="I99" s="110"/>
      <c r="J99" s="110"/>
    </row>
    <row r="100">
      <c r="A100" s="1"/>
      <c r="B100" s="1"/>
      <c r="C100" s="1"/>
      <c r="D100" s="1"/>
      <c r="E100" s="1"/>
      <c r="F100" s="1"/>
      <c r="G100" s="1"/>
      <c r="H100" s="86" t="str">
        <f>If(Miscellaneous!E100*Custom!C$5&gt; 256, "", Miscellaneous!E100*Custom!C$5)</f>
        <v/>
      </c>
      <c r="I100" s="110"/>
      <c r="J100" s="110"/>
    </row>
    <row r="101">
      <c r="A101" s="1"/>
      <c r="B101" s="1"/>
      <c r="C101" s="1"/>
      <c r="D101" s="1"/>
      <c r="E101" s="1"/>
      <c r="F101" s="1"/>
      <c r="G101" s="1"/>
      <c r="H101" s="86" t="str">
        <f>If(Miscellaneous!E101*Custom!C$5&gt; 256, "", Miscellaneous!E101*Custom!C$5)</f>
        <v/>
      </c>
      <c r="I101" s="110"/>
      <c r="J101" s="110"/>
    </row>
    <row r="102">
      <c r="A102" s="1"/>
      <c r="B102" s="1"/>
      <c r="C102" s="1"/>
      <c r="D102" s="1"/>
      <c r="E102" s="1"/>
      <c r="F102" s="1"/>
      <c r="G102" s="1"/>
      <c r="H102" s="86" t="str">
        <f>If(Miscellaneous!E102*Custom!C$5&gt; 256, "", Miscellaneous!E102*Custom!C$5)</f>
        <v/>
      </c>
      <c r="I102" s="110"/>
      <c r="J102" s="110"/>
    </row>
    <row r="103">
      <c r="A103" s="1"/>
      <c r="B103" s="1"/>
      <c r="C103" s="1"/>
      <c r="D103" s="1"/>
      <c r="E103" s="1"/>
      <c r="F103" s="1"/>
      <c r="G103" s="1"/>
      <c r="H103" s="86" t="str">
        <f>If(Miscellaneous!E103*Custom!C$5&gt; 256, "", Miscellaneous!E103*Custom!C$5)</f>
        <v/>
      </c>
      <c r="I103" s="110"/>
      <c r="J103" s="110"/>
    </row>
    <row r="104">
      <c r="A104" s="1"/>
      <c r="B104" s="1"/>
      <c r="C104" s="1"/>
      <c r="D104" s="1"/>
      <c r="E104" s="1"/>
      <c r="F104" s="1"/>
      <c r="G104" s="1"/>
      <c r="H104" s="86" t="str">
        <f>If(Miscellaneous!E104*Custom!C$5&gt; 256, "", Miscellaneous!E104*Custom!C$5)</f>
        <v/>
      </c>
      <c r="I104" s="110"/>
      <c r="J104" s="110"/>
    </row>
    <row r="105">
      <c r="A105" s="1"/>
      <c r="B105" s="1"/>
      <c r="C105" s="1"/>
      <c r="D105" s="1"/>
      <c r="E105" s="1"/>
      <c r="F105" s="1"/>
      <c r="G105" s="1"/>
      <c r="H105" s="86" t="str">
        <f>If(Miscellaneous!E105*Custom!C$5&gt; 256, "", Miscellaneous!E105*Custom!C$5)</f>
        <v/>
      </c>
      <c r="I105" s="110"/>
      <c r="J105" s="110"/>
    </row>
    <row r="106">
      <c r="A106" s="1"/>
      <c r="B106" s="1"/>
      <c r="C106" s="1"/>
      <c r="D106" s="1"/>
      <c r="E106" s="1"/>
      <c r="F106" s="1"/>
      <c r="G106" s="1"/>
      <c r="H106" s="86" t="str">
        <f>If(Miscellaneous!E106*Custom!C$5&gt; 256, "", Miscellaneous!E106*Custom!C$5)</f>
        <v/>
      </c>
      <c r="I106" s="110"/>
      <c r="J106" s="110"/>
    </row>
    <row r="107">
      <c r="A107" s="1"/>
      <c r="B107" s="1"/>
      <c r="C107" s="1"/>
      <c r="D107" s="1"/>
      <c r="E107" s="1"/>
      <c r="F107" s="1"/>
      <c r="G107" s="1"/>
      <c r="H107" s="86" t="str">
        <f>If(Miscellaneous!E107*Custom!C$5&gt; 256, "", Miscellaneous!E107*Custom!C$5)</f>
        <v/>
      </c>
      <c r="I107" s="110"/>
      <c r="J107" s="110"/>
    </row>
    <row r="108">
      <c r="A108" s="1"/>
      <c r="B108" s="1"/>
      <c r="C108" s="1"/>
      <c r="D108" s="1"/>
      <c r="E108" s="1"/>
      <c r="F108" s="1"/>
      <c r="G108" s="1"/>
      <c r="H108" s="86" t="str">
        <f>If(Miscellaneous!E108*Custom!C$5&gt; 256, "", Miscellaneous!E108*Custom!C$5)</f>
        <v/>
      </c>
      <c r="I108" s="110"/>
      <c r="J108" s="110"/>
    </row>
    <row r="109">
      <c r="A109" s="1"/>
      <c r="B109" s="1"/>
      <c r="C109" s="1"/>
      <c r="D109" s="1"/>
      <c r="E109" s="1"/>
      <c r="F109" s="1"/>
      <c r="G109" s="1"/>
      <c r="H109" s="86" t="str">
        <f>If(Miscellaneous!E109*Custom!C$5&gt; 256, "", Miscellaneous!E109*Custom!C$5)</f>
        <v/>
      </c>
      <c r="I109" s="110"/>
      <c r="J109" s="110"/>
    </row>
    <row r="110">
      <c r="A110" s="1"/>
      <c r="B110" s="1"/>
      <c r="C110" s="1"/>
      <c r="D110" s="1"/>
      <c r="E110" s="1"/>
      <c r="F110" s="1"/>
      <c r="G110" s="1"/>
      <c r="H110" s="86" t="str">
        <f>If(Miscellaneous!E110*Custom!C$5&gt; 256, "", Miscellaneous!E110*Custom!C$5)</f>
        <v/>
      </c>
      <c r="I110" s="110"/>
      <c r="J110" s="110"/>
    </row>
    <row r="111">
      <c r="A111" s="1"/>
      <c r="B111" s="1"/>
      <c r="C111" s="1"/>
      <c r="D111" s="1"/>
      <c r="E111" s="1"/>
      <c r="F111" s="1"/>
      <c r="G111" s="1"/>
      <c r="H111" s="86" t="str">
        <f>If(Miscellaneous!E111*Custom!C$5&gt; 256, "", Miscellaneous!E111*Custom!C$5)</f>
        <v/>
      </c>
      <c r="I111" s="110"/>
      <c r="J111" s="110"/>
    </row>
    <row r="112">
      <c r="A112" s="1"/>
      <c r="B112" s="1"/>
      <c r="C112" s="1"/>
      <c r="D112" s="1"/>
      <c r="E112" s="1"/>
      <c r="F112" s="1"/>
      <c r="G112" s="1"/>
      <c r="H112" s="86" t="str">
        <f>If(Miscellaneous!E112*Custom!C$5&gt; 256, "", Miscellaneous!E112*Custom!C$5)</f>
        <v/>
      </c>
      <c r="I112" s="110"/>
      <c r="J112" s="110"/>
    </row>
    <row r="113">
      <c r="A113" s="1"/>
      <c r="B113" s="1"/>
      <c r="C113" s="1"/>
      <c r="D113" s="1"/>
      <c r="E113" s="1"/>
      <c r="F113" s="1"/>
      <c r="G113" s="1"/>
      <c r="H113" s="86" t="str">
        <f>If(Miscellaneous!E113*Custom!C$5&gt; 256, "", Miscellaneous!E113*Custom!C$5)</f>
        <v/>
      </c>
      <c r="I113" s="110"/>
      <c r="J113" s="110"/>
    </row>
    <row r="114">
      <c r="A114" s="1"/>
      <c r="B114" s="1"/>
      <c r="C114" s="1"/>
      <c r="D114" s="1"/>
      <c r="E114" s="1"/>
      <c r="F114" s="1"/>
      <c r="G114" s="1"/>
      <c r="H114" s="86" t="str">
        <f>If(Miscellaneous!E114*Custom!C$5&gt; 256, "", Miscellaneous!E114*Custom!C$5)</f>
        <v/>
      </c>
      <c r="I114" s="110"/>
      <c r="J114" s="110"/>
    </row>
    <row r="115">
      <c r="A115" s="1"/>
      <c r="B115" s="1"/>
      <c r="C115" s="1"/>
      <c r="D115" s="1"/>
      <c r="E115" s="1"/>
      <c r="F115" s="1"/>
      <c r="G115" s="1"/>
      <c r="H115" s="86" t="str">
        <f>If(Miscellaneous!E115*Custom!C$5&gt; 256, "", Miscellaneous!E115*Custom!C$5)</f>
        <v/>
      </c>
      <c r="I115" s="110"/>
      <c r="J115" s="110"/>
    </row>
    <row r="116">
      <c r="A116" s="1"/>
      <c r="B116" s="1"/>
      <c r="C116" s="1"/>
      <c r="D116" s="1"/>
      <c r="E116" s="1"/>
      <c r="F116" s="1"/>
      <c r="G116" s="1"/>
      <c r="H116" s="86" t="str">
        <f>If(Miscellaneous!E116*Custom!C$5&gt; 256, "", Miscellaneous!E116*Custom!C$5)</f>
        <v/>
      </c>
      <c r="I116" s="110"/>
      <c r="J116" s="110"/>
    </row>
    <row r="117">
      <c r="A117" s="1"/>
      <c r="B117" s="1"/>
      <c r="C117" s="1"/>
      <c r="D117" s="1"/>
      <c r="E117" s="1"/>
      <c r="F117" s="1"/>
      <c r="G117" s="1"/>
      <c r="H117" s="86" t="str">
        <f>If(Miscellaneous!E117*Custom!C$5&gt; 256, "", Miscellaneous!E117*Custom!C$5)</f>
        <v/>
      </c>
      <c r="I117" s="110"/>
      <c r="J117" s="110"/>
    </row>
    <row r="118">
      <c r="A118" s="1"/>
      <c r="B118" s="1"/>
      <c r="C118" s="1"/>
      <c r="D118" s="1"/>
      <c r="E118" s="1"/>
      <c r="F118" s="1"/>
      <c r="G118" s="1"/>
      <c r="H118" s="86" t="str">
        <f>If(Miscellaneous!E118*Custom!C$5&gt; 256, "", Miscellaneous!E118*Custom!C$5)</f>
        <v/>
      </c>
      <c r="I118" s="110"/>
      <c r="J118" s="110"/>
    </row>
    <row r="119">
      <c r="A119" s="1"/>
      <c r="B119" s="1"/>
      <c r="C119" s="1"/>
      <c r="D119" s="1"/>
      <c r="E119" s="1"/>
      <c r="F119" s="1"/>
      <c r="G119" s="1"/>
      <c r="H119" s="86" t="str">
        <f>If(Miscellaneous!E119*Custom!C$5&gt; 256, "", Miscellaneous!E119*Custom!C$5)</f>
        <v/>
      </c>
      <c r="I119" s="110"/>
      <c r="J119" s="110"/>
    </row>
    <row r="120">
      <c r="A120" s="1"/>
      <c r="B120" s="1"/>
      <c r="C120" s="1"/>
      <c r="D120" s="1"/>
      <c r="E120" s="1"/>
      <c r="F120" s="1"/>
      <c r="G120" s="1"/>
      <c r="H120" s="86" t="str">
        <f>If(Miscellaneous!E120*Custom!C$5&gt; 256, "", Miscellaneous!E120*Custom!C$5)</f>
        <v/>
      </c>
      <c r="I120" s="110"/>
      <c r="J120" s="110"/>
    </row>
    <row r="121">
      <c r="A121" s="1"/>
      <c r="B121" s="1"/>
      <c r="C121" s="1"/>
      <c r="D121" s="1"/>
      <c r="E121" s="1"/>
      <c r="F121" s="1"/>
      <c r="G121" s="1"/>
      <c r="H121" s="86" t="str">
        <f>If(Miscellaneous!E121*Custom!C$5&gt; 256, "", Miscellaneous!E121*Custom!C$5)</f>
        <v/>
      </c>
      <c r="I121" s="110"/>
      <c r="J121" s="110"/>
    </row>
    <row r="122">
      <c r="A122" s="1"/>
      <c r="B122" s="1"/>
      <c r="C122" s="1"/>
      <c r="D122" s="1"/>
      <c r="E122" s="1"/>
      <c r="F122" s="1"/>
      <c r="G122" s="1"/>
      <c r="H122" s="86" t="str">
        <f>If(Miscellaneous!E122*Custom!C$5&gt; 256, "", Miscellaneous!E122*Custom!C$5)</f>
        <v/>
      </c>
      <c r="I122" s="110"/>
      <c r="J122" s="110"/>
    </row>
    <row r="123">
      <c r="A123" s="1"/>
      <c r="B123" s="1"/>
      <c r="C123" s="1"/>
      <c r="D123" s="1"/>
      <c r="E123" s="1"/>
      <c r="F123" s="1"/>
      <c r="G123" s="1"/>
      <c r="H123" s="86" t="str">
        <f>If(Miscellaneous!E123*Custom!C$5&gt; 256, "", Miscellaneous!E123*Custom!C$5)</f>
        <v/>
      </c>
      <c r="I123" s="110"/>
      <c r="J123" s="110"/>
    </row>
    <row r="124">
      <c r="A124" s="1"/>
      <c r="B124" s="1"/>
      <c r="C124" s="1"/>
      <c r="D124" s="1"/>
      <c r="E124" s="1"/>
      <c r="F124" s="1"/>
      <c r="G124" s="1"/>
      <c r="H124" s="86" t="str">
        <f>If(Miscellaneous!E124*Custom!C$5&gt; 256, "", Miscellaneous!E124*Custom!C$5)</f>
        <v/>
      </c>
      <c r="I124" s="110"/>
      <c r="J124" s="110"/>
    </row>
    <row r="125">
      <c r="A125" s="1"/>
      <c r="B125" s="1"/>
      <c r="C125" s="1"/>
      <c r="D125" s="1"/>
      <c r="E125" s="1"/>
      <c r="F125" s="1"/>
      <c r="G125" s="1"/>
      <c r="H125" s="86" t="str">
        <f>If(Miscellaneous!E125*Custom!C$5&gt; 256, "", Miscellaneous!E125*Custom!C$5)</f>
        <v/>
      </c>
      <c r="I125" s="110"/>
      <c r="J125" s="110"/>
    </row>
    <row r="126">
      <c r="A126" s="1"/>
      <c r="B126" s="1"/>
      <c r="C126" s="1"/>
      <c r="D126" s="1"/>
      <c r="E126" s="1"/>
      <c r="F126" s="1"/>
      <c r="G126" s="1"/>
      <c r="H126" s="86" t="str">
        <f>If(Miscellaneous!E126*Custom!C$5&gt; 256, "", Miscellaneous!E126*Custom!C$5)</f>
        <v/>
      </c>
      <c r="I126" s="110"/>
      <c r="J126" s="110"/>
    </row>
    <row r="127">
      <c r="A127" s="1"/>
      <c r="B127" s="1"/>
      <c r="C127" s="1"/>
      <c r="D127" s="1"/>
      <c r="E127" s="1"/>
      <c r="F127" s="1"/>
      <c r="G127" s="1"/>
      <c r="H127" s="86" t="str">
        <f>If(Miscellaneous!E127*Custom!C$5&gt; 256, "", Miscellaneous!E127*Custom!C$5)</f>
        <v/>
      </c>
      <c r="I127" s="110"/>
      <c r="J127" s="110"/>
    </row>
    <row r="128">
      <c r="A128" s="1"/>
      <c r="B128" s="1"/>
      <c r="C128" s="1"/>
      <c r="D128" s="1"/>
      <c r="E128" s="1"/>
      <c r="F128" s="1"/>
      <c r="G128" s="1"/>
      <c r="H128" s="86" t="str">
        <f>If(Miscellaneous!E128*Custom!C$5&gt; 256, "", Miscellaneous!E128*Custom!C$5)</f>
        <v/>
      </c>
      <c r="I128" s="110"/>
      <c r="J128" s="110"/>
    </row>
    <row r="129">
      <c r="A129" s="1"/>
      <c r="B129" s="1"/>
      <c r="C129" s="1"/>
      <c r="D129" s="1"/>
      <c r="E129" s="1"/>
      <c r="F129" s="1"/>
      <c r="G129" s="1"/>
      <c r="H129" s="86" t="str">
        <f>If(Miscellaneous!E129*Custom!C$5&gt; 256, "", Miscellaneous!E129*Custom!C$5)</f>
        <v/>
      </c>
      <c r="I129" s="110"/>
      <c r="J129" s="110"/>
    </row>
    <row r="130">
      <c r="A130" s="1"/>
      <c r="B130" s="1"/>
      <c r="C130" s="1"/>
      <c r="D130" s="1"/>
      <c r="E130" s="1"/>
      <c r="F130" s="1"/>
      <c r="G130" s="1"/>
      <c r="H130" s="86" t="str">
        <f>If(Miscellaneous!E130*Custom!C$5&gt; 256, "", Miscellaneous!E130*Custom!C$5)</f>
        <v/>
      </c>
      <c r="I130" s="110"/>
      <c r="J130" s="110"/>
    </row>
    <row r="131">
      <c r="A131" s="1"/>
      <c r="B131" s="1"/>
      <c r="C131" s="1"/>
      <c r="D131" s="1"/>
      <c r="E131" s="1"/>
      <c r="F131" s="1"/>
      <c r="G131" s="1"/>
      <c r="H131" s="86" t="str">
        <f>If(Miscellaneous!E131*Custom!C$5&gt; 256, "", Miscellaneous!E131*Custom!C$5)</f>
        <v/>
      </c>
      <c r="I131" s="110"/>
      <c r="J131" s="110"/>
    </row>
    <row r="132">
      <c r="A132" s="1"/>
      <c r="B132" s="1"/>
      <c r="C132" s="1"/>
      <c r="D132" s="1"/>
      <c r="E132" s="1"/>
      <c r="F132" s="1"/>
      <c r="G132" s="1"/>
      <c r="H132" s="86" t="str">
        <f>If(Miscellaneous!E132*Custom!C$5&gt; 256, "", Miscellaneous!E132*Custom!C$5)</f>
        <v/>
      </c>
      <c r="I132" s="110"/>
      <c r="J132" s="110"/>
    </row>
    <row r="133">
      <c r="A133" s="1"/>
      <c r="B133" s="1"/>
      <c r="C133" s="1"/>
      <c r="D133" s="1"/>
      <c r="E133" s="1"/>
      <c r="F133" s="1"/>
      <c r="G133" s="1"/>
      <c r="H133" s="86" t="str">
        <f>If(Miscellaneous!E133*Custom!C$5&gt; 256, "", Miscellaneous!E133*Custom!C$5)</f>
        <v/>
      </c>
      <c r="I133" s="110"/>
      <c r="J133" s="110"/>
    </row>
    <row r="134">
      <c r="A134" s="1"/>
      <c r="B134" s="1"/>
      <c r="C134" s="1"/>
      <c r="D134" s="1"/>
      <c r="E134" s="1"/>
      <c r="F134" s="1"/>
      <c r="G134" s="1"/>
      <c r="H134" s="86" t="str">
        <f>If(Miscellaneous!E134*Custom!C$5&gt; 256, "", Miscellaneous!E134*Custom!C$5)</f>
        <v/>
      </c>
      <c r="I134" s="110"/>
      <c r="J134" s="110"/>
    </row>
    <row r="135">
      <c r="A135" s="1"/>
      <c r="B135" s="1"/>
      <c r="C135" s="1"/>
      <c r="D135" s="1"/>
      <c r="E135" s="1"/>
      <c r="F135" s="1"/>
      <c r="G135" s="1"/>
      <c r="H135" s="86" t="str">
        <f>If(Miscellaneous!E135*Custom!C$5&gt; 256, "", Miscellaneous!E135*Custom!C$5)</f>
        <v/>
      </c>
      <c r="I135" s="110"/>
      <c r="J135" s="110"/>
    </row>
    <row r="136">
      <c r="A136" s="1"/>
      <c r="B136" s="1"/>
      <c r="C136" s="1"/>
      <c r="D136" s="1"/>
      <c r="E136" s="1"/>
      <c r="F136" s="1"/>
      <c r="G136" s="1"/>
      <c r="H136" s="86" t="str">
        <f>If(Miscellaneous!E136*Custom!C$5&gt; 256, "", Miscellaneous!E136*Custom!C$5)</f>
        <v/>
      </c>
      <c r="I136" s="110"/>
      <c r="J136" s="110"/>
    </row>
    <row r="137">
      <c r="A137" s="1"/>
      <c r="B137" s="1"/>
      <c r="C137" s="1"/>
      <c r="D137" s="1"/>
      <c r="E137" s="1"/>
      <c r="F137" s="1"/>
      <c r="G137" s="1"/>
      <c r="H137" s="86" t="str">
        <f>If(Miscellaneous!E137*Custom!C$5&gt; 256, "", Miscellaneous!E137*Custom!C$5)</f>
        <v/>
      </c>
      <c r="I137" s="110"/>
      <c r="J137" s="110"/>
    </row>
    <row r="138">
      <c r="A138" s="1"/>
      <c r="B138" s="1"/>
      <c r="C138" s="1"/>
      <c r="D138" s="1"/>
      <c r="E138" s="1"/>
      <c r="F138" s="1"/>
      <c r="G138" s="1"/>
      <c r="H138" s="86" t="str">
        <f>If(Miscellaneous!E138*Custom!C$5&gt; 256, "", Miscellaneous!E138*Custom!C$5)</f>
        <v/>
      </c>
      <c r="I138" s="110"/>
      <c r="J138" s="110"/>
    </row>
    <row r="139">
      <c r="A139" s="1"/>
      <c r="B139" s="1"/>
      <c r="C139" s="1"/>
      <c r="D139" s="1"/>
      <c r="E139" s="1"/>
      <c r="F139" s="1"/>
      <c r="G139" s="1"/>
      <c r="H139" s="86" t="str">
        <f>If(Miscellaneous!E139*Custom!C$5&gt; 256, "", Miscellaneous!E139*Custom!C$5)</f>
        <v/>
      </c>
      <c r="I139" s="110"/>
      <c r="J139" s="110"/>
    </row>
    <row r="140">
      <c r="A140" s="1"/>
      <c r="B140" s="1"/>
      <c r="C140" s="1"/>
      <c r="D140" s="1"/>
      <c r="E140" s="1"/>
      <c r="F140" s="1"/>
      <c r="G140" s="1"/>
      <c r="H140" s="86" t="str">
        <f>If(Miscellaneous!E140*Custom!C$5&gt; 256, "", Miscellaneous!E140*Custom!C$5)</f>
        <v/>
      </c>
      <c r="I140" s="110"/>
      <c r="J140" s="110"/>
    </row>
    <row r="141">
      <c r="A141" s="1"/>
      <c r="B141" s="1"/>
      <c r="C141" s="1"/>
      <c r="D141" s="1"/>
      <c r="E141" s="1"/>
      <c r="F141" s="1"/>
      <c r="G141" s="1"/>
      <c r="H141" s="86" t="str">
        <f>If(Miscellaneous!E141*Custom!C$5&gt; 256, "", Miscellaneous!E141*Custom!C$5)</f>
        <v/>
      </c>
      <c r="I141" s="110"/>
      <c r="J141" s="110"/>
    </row>
    <row r="142">
      <c r="A142" s="1"/>
      <c r="B142" s="1"/>
      <c r="C142" s="1"/>
      <c r="D142" s="1"/>
      <c r="E142" s="1"/>
      <c r="F142" s="1"/>
      <c r="G142" s="1"/>
      <c r="H142" s="86" t="str">
        <f>If(Miscellaneous!E142*Custom!C$5&gt; 256, "", Miscellaneous!E142*Custom!C$5)</f>
        <v/>
      </c>
      <c r="I142" s="110"/>
      <c r="J142" s="110"/>
    </row>
    <row r="143">
      <c r="A143" s="1"/>
      <c r="B143" s="1"/>
      <c r="C143" s="1"/>
      <c r="D143" s="1"/>
      <c r="E143" s="1"/>
      <c r="F143" s="1"/>
      <c r="G143" s="1"/>
      <c r="H143" s="86" t="str">
        <f>If(Miscellaneous!E143*Custom!C$5&gt; 256, "", Miscellaneous!E143*Custom!C$5)</f>
        <v/>
      </c>
      <c r="I143" s="110"/>
      <c r="J143" s="110"/>
    </row>
    <row r="144">
      <c r="A144" s="1"/>
      <c r="B144" s="1"/>
      <c r="C144" s="1"/>
      <c r="D144" s="1"/>
      <c r="E144" s="1"/>
      <c r="F144" s="1"/>
      <c r="G144" s="1"/>
      <c r="H144" s="86" t="str">
        <f>If(Miscellaneous!E144*Custom!C$5&gt; 256, "", Miscellaneous!E144*Custom!C$5)</f>
        <v/>
      </c>
      <c r="I144" s="110"/>
      <c r="J144" s="110"/>
    </row>
    <row r="145">
      <c r="A145" s="1"/>
      <c r="B145" s="1"/>
      <c r="C145" s="1"/>
      <c r="D145" s="1"/>
      <c r="E145" s="1"/>
      <c r="F145" s="1"/>
      <c r="G145" s="1"/>
      <c r="H145" s="86" t="str">
        <f>If(Miscellaneous!E145*Custom!C$5&gt; 256, "", Miscellaneous!E145*Custom!C$5)</f>
        <v/>
      </c>
      <c r="I145" s="110"/>
      <c r="J145" s="110"/>
    </row>
    <row r="146">
      <c r="A146" s="1"/>
      <c r="B146" s="1"/>
      <c r="C146" s="1"/>
      <c r="D146" s="1"/>
      <c r="E146" s="1"/>
      <c r="F146" s="1"/>
      <c r="G146" s="1"/>
      <c r="H146" s="86" t="str">
        <f>If(Miscellaneous!E146*Custom!C$5&gt; 256, "", Miscellaneous!E146*Custom!C$5)</f>
        <v/>
      </c>
      <c r="I146" s="110"/>
      <c r="J146" s="110"/>
    </row>
    <row r="147">
      <c r="A147" s="1"/>
      <c r="B147" s="1"/>
      <c r="C147" s="1"/>
      <c r="D147" s="1"/>
      <c r="E147" s="1"/>
      <c r="F147" s="1"/>
      <c r="G147" s="1"/>
      <c r="H147" s="86" t="str">
        <f>If(Miscellaneous!E147*Custom!C$5&gt; 256, "", Miscellaneous!E147*Custom!C$5)</f>
        <v/>
      </c>
      <c r="I147" s="110"/>
      <c r="J147" s="110"/>
    </row>
    <row r="148">
      <c r="A148" s="1"/>
      <c r="B148" s="1"/>
      <c r="C148" s="1"/>
      <c r="D148" s="1"/>
      <c r="E148" s="1"/>
      <c r="F148" s="1"/>
      <c r="G148" s="1"/>
      <c r="H148" s="86" t="str">
        <f>If(Miscellaneous!E148*Custom!C$5&gt; 256, "", Miscellaneous!E148*Custom!C$5)</f>
        <v/>
      </c>
      <c r="I148" s="110"/>
      <c r="J148" s="110"/>
    </row>
    <row r="149">
      <c r="A149" s="1"/>
      <c r="B149" s="1"/>
      <c r="C149" s="1"/>
      <c r="D149" s="1"/>
      <c r="E149" s="1"/>
      <c r="F149" s="1"/>
      <c r="G149" s="1"/>
      <c r="H149" s="86" t="str">
        <f>If(Miscellaneous!E149*Custom!C$5&gt; 256, "", Miscellaneous!E149*Custom!C$5)</f>
        <v/>
      </c>
      <c r="I149" s="110"/>
      <c r="J149" s="110"/>
    </row>
    <row r="150">
      <c r="A150" s="1"/>
      <c r="B150" s="1"/>
      <c r="C150" s="1"/>
      <c r="D150" s="1"/>
      <c r="E150" s="1"/>
      <c r="F150" s="1"/>
      <c r="G150" s="1"/>
      <c r="H150" s="86" t="str">
        <f>If(Miscellaneous!E150*Custom!C$5&gt; 256, "", Miscellaneous!E150*Custom!C$5)</f>
        <v/>
      </c>
      <c r="I150" s="110"/>
      <c r="J150" s="110"/>
    </row>
    <row r="151">
      <c r="A151" s="1"/>
      <c r="B151" s="1"/>
      <c r="C151" s="1"/>
      <c r="D151" s="1"/>
      <c r="E151" s="1"/>
      <c r="F151" s="1"/>
      <c r="G151" s="1"/>
      <c r="H151" s="86" t="str">
        <f>If(Miscellaneous!E151*Custom!C$5&gt; 256, "", Miscellaneous!E151*Custom!C$5)</f>
        <v/>
      </c>
      <c r="I151" s="110"/>
      <c r="J151" s="110"/>
    </row>
    <row r="152">
      <c r="A152" s="1"/>
      <c r="B152" s="1"/>
      <c r="C152" s="1"/>
      <c r="D152" s="1"/>
      <c r="E152" s="1"/>
      <c r="F152" s="1"/>
      <c r="G152" s="1"/>
      <c r="H152" s="86" t="str">
        <f>If(Miscellaneous!E152*Custom!C$5&gt; 256, "", Miscellaneous!E152*Custom!C$5)</f>
        <v/>
      </c>
      <c r="I152" s="110"/>
      <c r="J152" s="110"/>
    </row>
    <row r="153">
      <c r="A153" s="1"/>
      <c r="B153" s="1"/>
      <c r="C153" s="1"/>
      <c r="D153" s="1"/>
      <c r="E153" s="1"/>
      <c r="F153" s="1"/>
      <c r="G153" s="1"/>
      <c r="H153" s="86" t="str">
        <f>If(Miscellaneous!E153*Custom!C$5&gt; 256, "", Miscellaneous!E153*Custom!C$5)</f>
        <v/>
      </c>
      <c r="I153" s="110"/>
      <c r="J153" s="110"/>
    </row>
    <row r="154">
      <c r="A154" s="1"/>
      <c r="B154" s="1"/>
      <c r="C154" s="1"/>
      <c r="D154" s="1"/>
      <c r="E154" s="1"/>
      <c r="F154" s="1"/>
      <c r="G154" s="1"/>
      <c r="H154" s="86" t="str">
        <f>If(Miscellaneous!E154*Custom!C$5&gt; 256, "", Miscellaneous!E154*Custom!C$5)</f>
        <v/>
      </c>
      <c r="I154" s="110"/>
      <c r="J154" s="110"/>
    </row>
    <row r="155">
      <c r="A155" s="1"/>
      <c r="B155" s="1"/>
      <c r="C155" s="1"/>
      <c r="D155" s="1"/>
      <c r="E155" s="1"/>
      <c r="F155" s="1"/>
      <c r="G155" s="1"/>
      <c r="H155" s="86" t="str">
        <f>If(Miscellaneous!E155*Custom!C$5&gt; 256, "", Miscellaneous!E155*Custom!C$5)</f>
        <v/>
      </c>
      <c r="I155" s="110"/>
      <c r="J155" s="110"/>
    </row>
    <row r="156">
      <c r="A156" s="1"/>
      <c r="B156" s="1"/>
      <c r="C156" s="1"/>
      <c r="D156" s="1"/>
      <c r="E156" s="1"/>
      <c r="F156" s="1"/>
      <c r="G156" s="1"/>
      <c r="H156" s="86" t="str">
        <f>If(Miscellaneous!E156*Custom!C$5&gt; 256, "", Miscellaneous!E156*Custom!C$5)</f>
        <v/>
      </c>
      <c r="I156" s="110"/>
      <c r="J156" s="110"/>
    </row>
    <row r="157">
      <c r="A157" s="1"/>
      <c r="B157" s="1"/>
      <c r="C157" s="1"/>
      <c r="D157" s="1"/>
      <c r="E157" s="1"/>
      <c r="F157" s="1"/>
      <c r="G157" s="1"/>
      <c r="H157" s="86" t="str">
        <f>If(Miscellaneous!E157*Custom!C$5&gt; 256, "", Miscellaneous!E157*Custom!C$5)</f>
        <v/>
      </c>
      <c r="I157" s="110"/>
      <c r="J157" s="110"/>
    </row>
    <row r="158">
      <c r="A158" s="1"/>
      <c r="B158" s="1"/>
      <c r="C158" s="1"/>
      <c r="D158" s="1"/>
      <c r="E158" s="1"/>
      <c r="F158" s="1"/>
      <c r="G158" s="1"/>
      <c r="H158" s="86" t="str">
        <f>If(Miscellaneous!E158*Custom!C$5&gt; 256, "", Miscellaneous!E158*Custom!C$5)</f>
        <v/>
      </c>
      <c r="I158" s="110"/>
      <c r="J158" s="110"/>
    </row>
    <row r="159">
      <c r="A159" s="1"/>
      <c r="B159" s="1"/>
      <c r="C159" s="1"/>
      <c r="D159" s="1"/>
      <c r="E159" s="1"/>
      <c r="F159" s="1"/>
      <c r="G159" s="1"/>
      <c r="H159" s="86" t="str">
        <f>If(Miscellaneous!E159*Custom!C$5&gt; 256, "", Miscellaneous!E159*Custom!C$5)</f>
        <v/>
      </c>
      <c r="I159" s="110"/>
      <c r="J159" s="110"/>
    </row>
    <row r="160">
      <c r="A160" s="1"/>
      <c r="B160" s="1"/>
      <c r="C160" s="1"/>
      <c r="D160" s="1"/>
      <c r="E160" s="1"/>
      <c r="F160" s="1"/>
      <c r="G160" s="1"/>
      <c r="H160" s="86" t="str">
        <f>If(Miscellaneous!E160*Custom!C$5&gt; 256, "", Miscellaneous!E160*Custom!C$5)</f>
        <v/>
      </c>
      <c r="I160" s="110"/>
      <c r="J160" s="110"/>
    </row>
    <row r="161">
      <c r="A161" s="1"/>
      <c r="B161" s="1"/>
      <c r="C161" s="1"/>
      <c r="D161" s="1"/>
      <c r="E161" s="1"/>
      <c r="F161" s="1"/>
      <c r="G161" s="1"/>
      <c r="H161" s="86" t="str">
        <f>If(Miscellaneous!E161*Custom!C$5&gt; 256, "", Miscellaneous!E161*Custom!C$5)</f>
        <v/>
      </c>
      <c r="I161" s="110"/>
      <c r="J161" s="110"/>
    </row>
    <row r="162">
      <c r="A162" s="1"/>
      <c r="B162" s="1"/>
      <c r="C162" s="1"/>
      <c r="D162" s="1"/>
      <c r="E162" s="1"/>
      <c r="F162" s="1"/>
      <c r="G162" s="1"/>
      <c r="H162" s="86" t="str">
        <f>If(Miscellaneous!E162*Custom!C$5&gt; 256, "", Miscellaneous!E162*Custom!C$5)</f>
        <v/>
      </c>
      <c r="I162" s="110"/>
      <c r="J162" s="110"/>
    </row>
    <row r="163">
      <c r="A163" s="1"/>
      <c r="B163" s="1"/>
      <c r="C163" s="1"/>
      <c r="D163" s="1"/>
      <c r="E163" s="1"/>
      <c r="F163" s="1"/>
      <c r="G163" s="1"/>
      <c r="H163" s="86" t="str">
        <f>If(Miscellaneous!E163*Custom!C$5&gt; 256, "", Miscellaneous!E163*Custom!C$5)</f>
        <v/>
      </c>
      <c r="I163" s="110"/>
      <c r="J163" s="110"/>
    </row>
    <row r="164">
      <c r="A164" s="1"/>
      <c r="B164" s="1"/>
      <c r="C164" s="1"/>
      <c r="D164" s="1"/>
      <c r="E164" s="1"/>
      <c r="F164" s="1"/>
      <c r="G164" s="1"/>
      <c r="H164" s="86" t="str">
        <f>If(Miscellaneous!E164*Custom!C$5&gt; 256, "", Miscellaneous!E164*Custom!C$5)</f>
        <v/>
      </c>
      <c r="I164" s="110"/>
      <c r="J164" s="110"/>
    </row>
    <row r="165">
      <c r="A165" s="1"/>
      <c r="B165" s="1"/>
      <c r="C165" s="1"/>
      <c r="D165" s="1"/>
      <c r="E165" s="1"/>
      <c r="F165" s="1"/>
      <c r="G165" s="1"/>
      <c r="H165" s="86" t="str">
        <f>If(Miscellaneous!E165*Custom!C$5&gt; 256, "", Miscellaneous!E165*Custom!C$5)</f>
        <v/>
      </c>
      <c r="I165" s="110"/>
      <c r="J165" s="110"/>
    </row>
    <row r="166">
      <c r="A166" s="1"/>
      <c r="B166" s="1"/>
      <c r="C166" s="1"/>
      <c r="D166" s="1"/>
      <c r="E166" s="1"/>
      <c r="F166" s="1"/>
      <c r="G166" s="1"/>
      <c r="H166" s="86" t="str">
        <f>If(Miscellaneous!E166*Custom!C$5&gt; 256, "", Miscellaneous!E166*Custom!C$5)</f>
        <v/>
      </c>
      <c r="I166" s="110"/>
      <c r="J166" s="110"/>
    </row>
    <row r="167">
      <c r="A167" s="1"/>
      <c r="B167" s="1"/>
      <c r="C167" s="1"/>
      <c r="D167" s="1"/>
      <c r="E167" s="1"/>
      <c r="F167" s="1"/>
      <c r="G167" s="1"/>
      <c r="H167" s="86" t="str">
        <f>If(Miscellaneous!E167*Custom!C$5&gt; 256, "", Miscellaneous!E167*Custom!C$5)</f>
        <v/>
      </c>
      <c r="I167" s="110"/>
      <c r="J167" s="110"/>
    </row>
    <row r="168">
      <c r="A168" s="1"/>
      <c r="B168" s="1"/>
      <c r="C168" s="1"/>
      <c r="D168" s="1"/>
      <c r="E168" s="1"/>
      <c r="F168" s="1"/>
      <c r="G168" s="1"/>
      <c r="H168" s="86" t="str">
        <f>If(Miscellaneous!E168*Custom!C$5&gt; 256, "", Miscellaneous!E168*Custom!C$5)</f>
        <v/>
      </c>
      <c r="I168" s="110"/>
      <c r="J168" s="110"/>
    </row>
    <row r="169">
      <c r="A169" s="1"/>
      <c r="B169" s="1"/>
      <c r="C169" s="1"/>
      <c r="D169" s="1"/>
      <c r="E169" s="1"/>
      <c r="F169" s="1"/>
      <c r="G169" s="1"/>
      <c r="H169" s="86" t="str">
        <f>If(Miscellaneous!E169*Custom!C$5&gt; 256, "", Miscellaneous!E169*Custom!C$5)</f>
        <v/>
      </c>
      <c r="I169" s="110"/>
      <c r="J169" s="110"/>
    </row>
    <row r="170">
      <c r="A170" s="1"/>
      <c r="B170" s="1"/>
      <c r="C170" s="1"/>
      <c r="D170" s="1"/>
      <c r="E170" s="1"/>
      <c r="F170" s="1"/>
      <c r="G170" s="1"/>
      <c r="H170" s="86" t="str">
        <f>If(Miscellaneous!E170*Custom!C$5&gt; 256, "", Miscellaneous!E170*Custom!C$5)</f>
        <v/>
      </c>
      <c r="I170" s="110"/>
      <c r="J170" s="110"/>
    </row>
    <row r="171">
      <c r="A171" s="1"/>
      <c r="B171" s="1"/>
      <c r="C171" s="1"/>
      <c r="D171" s="1"/>
      <c r="E171" s="1"/>
      <c r="F171" s="1"/>
      <c r="G171" s="1"/>
      <c r="H171" s="86" t="str">
        <f>If(Miscellaneous!E171*Custom!C$5&gt; 256, "", Miscellaneous!E171*Custom!C$5)</f>
        <v/>
      </c>
      <c r="I171" s="110"/>
      <c r="J171" s="110"/>
    </row>
    <row r="172">
      <c r="A172" s="1"/>
      <c r="B172" s="1"/>
      <c r="C172" s="1"/>
      <c r="D172" s="1"/>
      <c r="E172" s="1"/>
      <c r="F172" s="1"/>
      <c r="G172" s="1"/>
      <c r="H172" s="86" t="str">
        <f>If(Miscellaneous!E172*Custom!C$5&gt; 256, "", Miscellaneous!E172*Custom!C$5)</f>
        <v/>
      </c>
      <c r="I172" s="110"/>
      <c r="J172" s="110"/>
    </row>
    <row r="173">
      <c r="A173" s="1"/>
      <c r="B173" s="1"/>
      <c r="C173" s="1"/>
      <c r="D173" s="1"/>
      <c r="E173" s="1"/>
      <c r="F173" s="1"/>
      <c r="G173" s="1"/>
      <c r="H173" s="86" t="str">
        <f>If(Miscellaneous!E173*Custom!C$5&gt; 256, "", Miscellaneous!E173*Custom!C$5)</f>
        <v/>
      </c>
      <c r="I173" s="110"/>
      <c r="J173" s="110"/>
    </row>
    <row r="174">
      <c r="A174" s="1"/>
      <c r="B174" s="1"/>
      <c r="C174" s="1"/>
      <c r="D174" s="1"/>
      <c r="E174" s="1"/>
      <c r="F174" s="1"/>
      <c r="G174" s="1"/>
      <c r="H174" s="86" t="str">
        <f>If(Miscellaneous!E174*Custom!C$5&gt; 256, "", Miscellaneous!E174*Custom!C$5)</f>
        <v/>
      </c>
      <c r="I174" s="110"/>
      <c r="J174" s="110"/>
    </row>
    <row r="175">
      <c r="A175" s="1"/>
      <c r="B175" s="1"/>
      <c r="C175" s="1"/>
      <c r="D175" s="1"/>
      <c r="E175" s="1"/>
      <c r="F175" s="1"/>
      <c r="G175" s="1"/>
      <c r="H175" s="86" t="str">
        <f>If(Miscellaneous!E175*Custom!C$5&gt; 256, "", Miscellaneous!E175*Custom!C$5)</f>
        <v/>
      </c>
      <c r="I175" s="1"/>
      <c r="J175" s="1"/>
    </row>
    <row r="176">
      <c r="A176" s="1"/>
      <c r="B176" s="1"/>
      <c r="C176" s="1"/>
      <c r="D176" s="1"/>
      <c r="E176" s="1"/>
      <c r="F176" s="1"/>
      <c r="G176" s="1"/>
      <c r="H176" s="86" t="str">
        <f>If(Miscellaneous!E176*Custom!C$5&gt; 256, "", Miscellaneous!E176*Custom!C$5)</f>
        <v/>
      </c>
      <c r="I176" s="1"/>
      <c r="J176" s="1"/>
    </row>
    <row r="177">
      <c r="A177" s="1"/>
      <c r="B177" s="1"/>
      <c r="C177" s="75"/>
      <c r="D177" s="1"/>
      <c r="E177" s="1"/>
      <c r="F177" s="1"/>
      <c r="G177" s="1"/>
      <c r="H177" s="86" t="str">
        <f>If(Miscellaneous!E177*Custom!C$5&gt; 256, "", Miscellaneous!E177*Custom!C$5)</f>
        <v/>
      </c>
      <c r="I177" s="1"/>
      <c r="J177" s="1"/>
    </row>
    <row r="178">
      <c r="A178" s="1"/>
      <c r="B178" s="1"/>
      <c r="C178" s="75"/>
      <c r="D178" s="1"/>
      <c r="E178" s="1"/>
      <c r="F178" s="1"/>
      <c r="G178" s="1"/>
      <c r="H178" s="86" t="str">
        <f>If(Miscellaneous!E178*Custom!C$5&gt; 256, "", Miscellaneous!E178*Custom!C$5)</f>
        <v/>
      </c>
      <c r="I178" s="1"/>
      <c r="J178" s="1"/>
    </row>
    <row r="179">
      <c r="A179" s="1"/>
      <c r="B179" s="1"/>
      <c r="C179" s="75"/>
      <c r="D179" s="1"/>
      <c r="E179" s="1"/>
      <c r="F179" s="1"/>
      <c r="G179" s="1"/>
      <c r="H179" s="86" t="str">
        <f>If(Miscellaneous!E179*Custom!C$5&gt; 256, "", Miscellaneous!E179*Custom!C$5)</f>
        <v/>
      </c>
      <c r="I179" s="1"/>
      <c r="J179" s="1"/>
    </row>
    <row r="180">
      <c r="A180" s="1"/>
      <c r="B180" s="1"/>
      <c r="C180" s="75"/>
      <c r="D180" s="1"/>
      <c r="E180" s="1"/>
      <c r="F180" s="1"/>
      <c r="G180" s="1"/>
      <c r="H180" s="86" t="str">
        <f>If(Miscellaneous!E180*Custom!C$5&gt; 256, "", Miscellaneous!E180*Custom!C$5)</f>
        <v/>
      </c>
      <c r="I180" s="1"/>
      <c r="J180" s="1"/>
    </row>
    <row r="181">
      <c r="A181" s="1"/>
      <c r="B181" s="1"/>
      <c r="C181" s="75"/>
      <c r="D181" s="1"/>
      <c r="E181" s="1"/>
      <c r="F181" s="1"/>
      <c r="G181" s="1"/>
      <c r="H181" s="86" t="str">
        <f>If(Miscellaneous!E181*Custom!C$5&gt; 256, "", Miscellaneous!E181*Custom!C$5)</f>
        <v/>
      </c>
      <c r="I181" s="1"/>
      <c r="J181" s="1"/>
    </row>
    <row r="182">
      <c r="A182" s="1"/>
      <c r="B182" s="1"/>
      <c r="C182" s="75"/>
      <c r="D182" s="1"/>
      <c r="E182" s="1"/>
      <c r="F182" s="1"/>
      <c r="G182" s="1"/>
      <c r="H182" s="86" t="str">
        <f>If(Miscellaneous!E182*Custom!C$5&gt; 256, "", Miscellaneous!E182*Custom!C$5)</f>
        <v/>
      </c>
      <c r="I182" s="1"/>
      <c r="J182" s="1"/>
    </row>
    <row r="183">
      <c r="A183" s="1"/>
      <c r="B183" s="1"/>
      <c r="C183" s="75"/>
      <c r="D183" s="1"/>
      <c r="E183" s="1"/>
      <c r="F183" s="1"/>
      <c r="G183" s="1"/>
      <c r="H183" s="86" t="str">
        <f>If(Miscellaneous!E183*Custom!C$5&gt; 256, "", Miscellaneous!E183*Custom!C$5)</f>
        <v/>
      </c>
      <c r="I183" s="1"/>
      <c r="J183" s="1"/>
    </row>
    <row r="184">
      <c r="A184" s="1"/>
      <c r="B184" s="1"/>
      <c r="C184" s="75"/>
      <c r="D184" s="1"/>
      <c r="E184" s="1"/>
      <c r="F184" s="1"/>
      <c r="G184" s="1"/>
      <c r="H184" s="86" t="str">
        <f>If(Miscellaneous!E184*Custom!C$5&gt; 256, "", Miscellaneous!E184*Custom!C$5)</f>
        <v/>
      </c>
      <c r="I184" s="1"/>
      <c r="J184" s="1"/>
    </row>
    <row r="185">
      <c r="A185" s="1"/>
      <c r="B185" s="1"/>
      <c r="C185" s="75"/>
      <c r="D185" s="1"/>
      <c r="E185" s="1"/>
      <c r="F185" s="1"/>
      <c r="G185" s="1"/>
      <c r="H185" s="86" t="str">
        <f>If(Miscellaneous!E185*Custom!C$5&gt; 256, "", Miscellaneous!E185*Custom!C$5)</f>
        <v/>
      </c>
      <c r="I185" s="1"/>
      <c r="J185" s="1"/>
    </row>
    <row r="186">
      <c r="A186" s="1"/>
      <c r="B186" s="1"/>
      <c r="C186" s="75"/>
      <c r="D186" s="1"/>
      <c r="E186" s="1"/>
      <c r="F186" s="1"/>
      <c r="G186" s="1"/>
      <c r="H186" s="86" t="str">
        <f>If(Miscellaneous!E186*Custom!C$5&gt; 256, "", Miscellaneous!E186*Custom!C$5)</f>
        <v/>
      </c>
      <c r="I186" s="1"/>
      <c r="J186" s="1"/>
    </row>
    <row r="187">
      <c r="A187" s="1"/>
      <c r="B187" s="1"/>
      <c r="C187" s="75"/>
      <c r="D187" s="1"/>
      <c r="E187" s="1"/>
      <c r="F187" s="1"/>
      <c r="G187" s="1"/>
      <c r="H187" s="86" t="str">
        <f>If(Miscellaneous!E187*Custom!C$5&gt; 256, "", Miscellaneous!E187*Custom!C$5)</f>
        <v/>
      </c>
      <c r="I187" s="1"/>
      <c r="J187" s="1"/>
    </row>
    <row r="188">
      <c r="A188" s="1"/>
      <c r="B188" s="1"/>
      <c r="C188" s="75"/>
      <c r="D188" s="1"/>
      <c r="E188" s="1"/>
      <c r="F188" s="1"/>
      <c r="G188" s="1"/>
      <c r="H188" s="86" t="str">
        <f>If(Miscellaneous!E188*Custom!C$5&gt; 256, "", Miscellaneous!E188*Custom!C$5)</f>
        <v/>
      </c>
      <c r="I188" s="1"/>
      <c r="J188" s="1"/>
    </row>
    <row r="189">
      <c r="A189" s="1"/>
      <c r="B189" s="1"/>
      <c r="C189" s="75"/>
      <c r="D189" s="1"/>
      <c r="E189" s="1"/>
      <c r="F189" s="1"/>
      <c r="G189" s="1"/>
      <c r="H189" s="86" t="str">
        <f>If(Miscellaneous!E189*Custom!C$5&gt; 256, "", Miscellaneous!E189*Custom!C$5)</f>
        <v/>
      </c>
      <c r="I189" s="1"/>
      <c r="J189" s="1"/>
    </row>
    <row r="190">
      <c r="A190" s="1"/>
      <c r="B190" s="1"/>
      <c r="C190" s="75"/>
      <c r="D190" s="1"/>
      <c r="E190" s="1"/>
      <c r="F190" s="1"/>
      <c r="G190" s="1"/>
      <c r="H190" s="86" t="str">
        <f>If(Miscellaneous!E190*Custom!C$5&gt; 256, "", Miscellaneous!E190*Custom!C$5)</f>
        <v/>
      </c>
      <c r="I190" s="1"/>
      <c r="J190" s="1"/>
    </row>
    <row r="191">
      <c r="A191" s="1"/>
      <c r="B191" s="1"/>
      <c r="C191" s="75"/>
      <c r="D191" s="1"/>
      <c r="E191" s="1"/>
      <c r="F191" s="1"/>
      <c r="G191" s="1"/>
      <c r="H191" s="86" t="str">
        <f>If(Miscellaneous!E191*Custom!C$5&gt; 256, "", Miscellaneous!E191*Custom!C$5)</f>
        <v/>
      </c>
      <c r="I191" s="1"/>
      <c r="J191" s="1"/>
    </row>
    <row r="192">
      <c r="A192" s="1"/>
      <c r="B192" s="1"/>
      <c r="C192" s="75"/>
      <c r="D192" s="1"/>
      <c r="E192" s="1"/>
      <c r="F192" s="1"/>
      <c r="G192" s="1"/>
      <c r="H192" s="86" t="str">
        <f>If(Miscellaneous!E192*Custom!C$5&gt; 256, "", Miscellaneous!E192*Custom!C$5)</f>
        <v/>
      </c>
      <c r="I192" s="1"/>
      <c r="J192" s="1"/>
    </row>
    <row r="193">
      <c r="A193" s="1"/>
      <c r="B193" s="1"/>
      <c r="C193" s="75"/>
      <c r="D193" s="1"/>
      <c r="E193" s="1"/>
      <c r="F193" s="1"/>
      <c r="G193" s="1"/>
      <c r="H193" s="86" t="str">
        <f>If(Miscellaneous!E193*Custom!C$5&gt; 256, "", Miscellaneous!E193*Custom!C$5)</f>
        <v/>
      </c>
      <c r="I193" s="1"/>
      <c r="J193" s="1"/>
    </row>
    <row r="194">
      <c r="A194" s="1"/>
      <c r="B194" s="1"/>
      <c r="C194" s="75"/>
      <c r="D194" s="1"/>
      <c r="E194" s="1"/>
      <c r="F194" s="1"/>
      <c r="G194" s="1"/>
      <c r="H194" s="86" t="str">
        <f>If(Miscellaneous!E194*Custom!C$5&gt; 256, "", Miscellaneous!E194*Custom!C$5)</f>
        <v/>
      </c>
      <c r="I194" s="1"/>
      <c r="J194" s="1"/>
    </row>
    <row r="195">
      <c r="A195" s="1"/>
      <c r="B195" s="1"/>
      <c r="C195" s="75"/>
      <c r="D195" s="1"/>
      <c r="E195" s="1"/>
      <c r="F195" s="1"/>
      <c r="G195" s="1"/>
      <c r="H195" s="86" t="str">
        <f>If(Miscellaneous!E195*Custom!C$5&gt; 256, "", Miscellaneous!E195*Custom!C$5)</f>
        <v/>
      </c>
      <c r="I195" s="1"/>
      <c r="J195" s="1"/>
    </row>
    <row r="196">
      <c r="A196" s="1"/>
      <c r="B196" s="1"/>
      <c r="C196" s="75"/>
      <c r="D196" s="1"/>
      <c r="E196" s="1"/>
      <c r="F196" s="1"/>
      <c r="G196" s="1"/>
      <c r="H196" s="86" t="str">
        <f>If(Miscellaneous!E196*Custom!C$5&gt; 256, "", Miscellaneous!E196*Custom!C$5)</f>
        <v/>
      </c>
      <c r="I196" s="1"/>
      <c r="J196" s="1"/>
    </row>
    <row r="197">
      <c r="A197" s="1"/>
      <c r="B197" s="1"/>
      <c r="C197" s="75"/>
      <c r="D197" s="1"/>
      <c r="E197" s="1"/>
      <c r="F197" s="1"/>
      <c r="G197" s="1"/>
      <c r="H197" s="86" t="str">
        <f>If(Miscellaneous!E197*Custom!C$5&gt; 256, "", Miscellaneous!E197*Custom!C$5)</f>
        <v/>
      </c>
      <c r="I197" s="1"/>
      <c r="J197" s="1"/>
    </row>
    <row r="198">
      <c r="A198" s="1"/>
      <c r="B198" s="1"/>
      <c r="C198" s="75"/>
      <c r="D198" s="1"/>
      <c r="E198" s="1"/>
      <c r="F198" s="1"/>
      <c r="G198" s="1"/>
      <c r="H198" s="86" t="str">
        <f>If(Miscellaneous!E198*Custom!C$5&gt; 256, "", Miscellaneous!E198*Custom!C$5)</f>
        <v/>
      </c>
      <c r="I198" s="1"/>
      <c r="J198" s="1"/>
    </row>
    <row r="199">
      <c r="A199" s="1"/>
      <c r="B199" s="1"/>
      <c r="C199" s="75"/>
      <c r="D199" s="1"/>
      <c r="E199" s="1"/>
      <c r="F199" s="1"/>
      <c r="G199" s="1"/>
      <c r="H199" s="86" t="str">
        <f>If(Miscellaneous!E199*Custom!C$5&gt; 256, "", Miscellaneous!E199*Custom!C$5)</f>
        <v/>
      </c>
      <c r="I199" s="1"/>
      <c r="J199" s="1"/>
    </row>
    <row r="200">
      <c r="A200" s="1"/>
      <c r="B200" s="1"/>
      <c r="C200" s="75"/>
      <c r="D200" s="1"/>
      <c r="E200" s="1"/>
      <c r="F200" s="1"/>
      <c r="G200" s="1"/>
      <c r="H200" s="86" t="str">
        <f>If(Miscellaneous!E200*Custom!C$5&gt; 256, "", Miscellaneous!E200*Custom!C$5)</f>
        <v/>
      </c>
      <c r="I200" s="1"/>
      <c r="J200" s="1"/>
    </row>
    <row r="201">
      <c r="A201" s="1"/>
      <c r="B201" s="1"/>
      <c r="C201" s="75"/>
      <c r="D201" s="1"/>
      <c r="E201" s="1"/>
      <c r="F201" s="1"/>
      <c r="G201" s="1"/>
      <c r="H201" s="86" t="str">
        <f>If(Miscellaneous!E201*Custom!C$5&gt; 256, "", Miscellaneous!E201*Custom!C$5)</f>
        <v/>
      </c>
      <c r="I201" s="1"/>
      <c r="J201" s="1"/>
    </row>
    <row r="202">
      <c r="A202" s="1"/>
      <c r="B202" s="1"/>
      <c r="C202" s="75"/>
      <c r="D202" s="1"/>
      <c r="E202" s="1"/>
      <c r="F202" s="1"/>
      <c r="G202" s="1"/>
      <c r="H202" s="86" t="str">
        <f>If(Miscellaneous!E202*Custom!C$5&gt; 256, "", Miscellaneous!E202*Custom!C$5)</f>
        <v/>
      </c>
      <c r="I202" s="1"/>
      <c r="J202" s="1"/>
    </row>
    <row r="203">
      <c r="A203" s="1"/>
      <c r="B203" s="1"/>
      <c r="C203" s="75"/>
      <c r="D203" s="1"/>
      <c r="E203" s="1"/>
      <c r="F203" s="1"/>
      <c r="G203" s="1"/>
      <c r="H203" s="86" t="str">
        <f>If(Miscellaneous!E203*Custom!C$5&gt; 256, "", Miscellaneous!E203*Custom!C$5)</f>
        <v/>
      </c>
      <c r="I203" s="1"/>
      <c r="J203" s="1"/>
    </row>
    <row r="204">
      <c r="A204" s="1"/>
      <c r="B204" s="1"/>
      <c r="C204" s="75"/>
      <c r="D204" s="1"/>
      <c r="E204" s="1"/>
      <c r="F204" s="1"/>
      <c r="G204" s="1"/>
      <c r="H204" s="86" t="str">
        <f>If(Miscellaneous!E204*Custom!C$5&gt; 256, "", Miscellaneous!E204*Custom!C$5)</f>
        <v/>
      </c>
      <c r="I204" s="1"/>
      <c r="J204" s="1"/>
    </row>
    <row r="205">
      <c r="A205" s="1"/>
      <c r="B205" s="1"/>
      <c r="C205" s="75"/>
      <c r="D205" s="1"/>
      <c r="E205" s="1"/>
      <c r="F205" s="1"/>
      <c r="G205" s="1"/>
      <c r="H205" s="86" t="str">
        <f>If(Miscellaneous!E205*Custom!C$5&gt; 256, "", Miscellaneous!E205*Custom!C$5)</f>
        <v/>
      </c>
      <c r="I205" s="1"/>
      <c r="J205" s="1"/>
    </row>
    <row r="206">
      <c r="A206" s="1"/>
      <c r="B206" s="1"/>
      <c r="C206" s="75"/>
      <c r="D206" s="1"/>
      <c r="E206" s="1"/>
      <c r="F206" s="1"/>
      <c r="G206" s="1"/>
      <c r="H206" s="86" t="str">
        <f>If(Miscellaneous!E206*Custom!C$5&gt; 256, "", Miscellaneous!E206*Custom!C$5)</f>
        <v/>
      </c>
      <c r="I206" s="1"/>
      <c r="J206" s="1"/>
    </row>
    <row r="207">
      <c r="A207" s="1"/>
      <c r="B207" s="1"/>
      <c r="C207" s="75"/>
      <c r="D207" s="1"/>
      <c r="E207" s="1"/>
      <c r="F207" s="1"/>
      <c r="G207" s="1"/>
      <c r="H207" s="86" t="str">
        <f>If(Miscellaneous!E207*Custom!C$5&gt; 256, "", Miscellaneous!E207*Custom!C$5)</f>
        <v/>
      </c>
      <c r="I207" s="1"/>
      <c r="J207" s="1"/>
    </row>
    <row r="208">
      <c r="A208" s="1"/>
      <c r="B208" s="1"/>
      <c r="C208" s="75"/>
      <c r="D208" s="1"/>
      <c r="E208" s="1"/>
      <c r="F208" s="1"/>
      <c r="G208" s="1"/>
      <c r="H208" s="86" t="str">
        <f>If(Miscellaneous!E208*Custom!C$5&gt; 256, "", Miscellaneous!E208*Custom!C$5)</f>
        <v/>
      </c>
      <c r="I208" s="1"/>
      <c r="J208" s="1"/>
    </row>
    <row r="209">
      <c r="A209" s="1"/>
      <c r="B209" s="1"/>
      <c r="C209" s="75"/>
      <c r="D209" s="1"/>
      <c r="E209" s="1"/>
      <c r="F209" s="1"/>
      <c r="G209" s="1"/>
      <c r="H209" s="86" t="str">
        <f>If(Miscellaneous!E209*Custom!C$5&gt; 256, "", Miscellaneous!E209*Custom!C$5)</f>
        <v/>
      </c>
      <c r="I209" s="1"/>
      <c r="J209" s="1"/>
    </row>
    <row r="210">
      <c r="A210" s="1"/>
      <c r="B210" s="1"/>
      <c r="C210" s="75"/>
      <c r="D210" s="1"/>
      <c r="E210" s="1"/>
      <c r="F210" s="1"/>
      <c r="G210" s="1"/>
      <c r="H210" s="86" t="str">
        <f>If(Miscellaneous!E210*Custom!C$5&gt; 256, "", Miscellaneous!E210*Custom!C$5)</f>
        <v/>
      </c>
      <c r="I210" s="1"/>
      <c r="J210" s="1"/>
    </row>
    <row r="211">
      <c r="A211" s="1"/>
      <c r="B211" s="1"/>
      <c r="C211" s="75"/>
      <c r="D211" s="1"/>
      <c r="E211" s="1"/>
      <c r="F211" s="1"/>
      <c r="G211" s="1"/>
      <c r="H211" s="86" t="str">
        <f>If(Miscellaneous!E211*Custom!C$5&gt; 256, "", Miscellaneous!E211*Custom!C$5)</f>
        <v/>
      </c>
      <c r="I211" s="1"/>
      <c r="J211" s="1"/>
    </row>
    <row r="212">
      <c r="A212" s="1"/>
      <c r="B212" s="1"/>
      <c r="C212" s="75"/>
      <c r="D212" s="1"/>
      <c r="E212" s="1"/>
      <c r="F212" s="1"/>
      <c r="G212" s="1"/>
      <c r="H212" s="86" t="str">
        <f>If(Miscellaneous!E212*Custom!C$5&gt; 256, "", Miscellaneous!E212*Custom!C$5)</f>
        <v/>
      </c>
      <c r="I212" s="1"/>
      <c r="J212" s="1"/>
    </row>
    <row r="213">
      <c r="A213" s="1"/>
      <c r="B213" s="1"/>
      <c r="C213" s="75"/>
      <c r="D213" s="1"/>
      <c r="E213" s="1"/>
      <c r="F213" s="1"/>
      <c r="G213" s="1"/>
      <c r="H213" s="86" t="str">
        <f>If(Miscellaneous!E213*Custom!C$5&gt; 256, "", Miscellaneous!E213*Custom!C$5)</f>
        <v/>
      </c>
      <c r="I213" s="1"/>
      <c r="J213" s="1"/>
    </row>
    <row r="214">
      <c r="A214" s="1"/>
      <c r="B214" s="1"/>
      <c r="C214" s="75"/>
      <c r="D214" s="1"/>
      <c r="E214" s="1"/>
      <c r="F214" s="1"/>
      <c r="G214" s="1"/>
      <c r="H214" s="86" t="str">
        <f>If(Miscellaneous!E214*Custom!C$5&gt; 256, "", Miscellaneous!E214*Custom!C$5)</f>
        <v/>
      </c>
      <c r="I214" s="1"/>
      <c r="J214" s="1"/>
    </row>
    <row r="215">
      <c r="A215" s="1"/>
      <c r="B215" s="1"/>
      <c r="C215" s="75"/>
      <c r="D215" s="1"/>
      <c r="E215" s="1"/>
      <c r="F215" s="1"/>
      <c r="G215" s="1"/>
      <c r="H215" s="86" t="str">
        <f>If(Miscellaneous!E215*Custom!C$5&gt; 256, "", Miscellaneous!E215*Custom!C$5)</f>
        <v/>
      </c>
      <c r="I215" s="1"/>
      <c r="J215" s="1"/>
    </row>
    <row r="216">
      <c r="A216" s="1"/>
      <c r="B216" s="1"/>
      <c r="C216" s="75"/>
      <c r="D216" s="1"/>
      <c r="E216" s="1"/>
      <c r="F216" s="1"/>
      <c r="G216" s="1"/>
      <c r="H216" s="86" t="str">
        <f>If(Miscellaneous!E216*Custom!C$5&gt; 256, "", Miscellaneous!E216*Custom!C$5)</f>
        <v/>
      </c>
      <c r="I216" s="1"/>
      <c r="J216" s="1"/>
    </row>
    <row r="217">
      <c r="A217" s="1"/>
      <c r="B217" s="1"/>
      <c r="C217" s="75"/>
      <c r="D217" s="1"/>
      <c r="E217" s="1"/>
      <c r="F217" s="1"/>
      <c r="G217" s="1"/>
      <c r="H217" s="86" t="str">
        <f>If(Miscellaneous!E217*Custom!C$5&gt; 256, "", Miscellaneous!E217*Custom!C$5)</f>
        <v/>
      </c>
      <c r="I217" s="1"/>
      <c r="J217" s="1"/>
    </row>
    <row r="218">
      <c r="A218" s="1"/>
      <c r="B218" s="1"/>
      <c r="C218" s="75"/>
      <c r="D218" s="1"/>
      <c r="E218" s="1"/>
      <c r="F218" s="1"/>
      <c r="G218" s="1"/>
      <c r="H218" s="86" t="str">
        <f>If(Miscellaneous!E218*Custom!C$5&gt; 256, "", Miscellaneous!E218*Custom!C$5)</f>
        <v/>
      </c>
      <c r="I218" s="1"/>
      <c r="J218" s="1"/>
    </row>
    <row r="219">
      <c r="A219" s="1"/>
      <c r="B219" s="1"/>
      <c r="C219" s="75"/>
      <c r="D219" s="1"/>
      <c r="E219" s="1"/>
      <c r="F219" s="1"/>
      <c r="G219" s="1"/>
      <c r="H219" s="86" t="str">
        <f>If(Miscellaneous!E219*Custom!C$5&gt; 256, "", Miscellaneous!E219*Custom!C$5)</f>
        <v/>
      </c>
      <c r="I219" s="1"/>
      <c r="J219" s="1"/>
    </row>
    <row r="220">
      <c r="A220" s="1"/>
      <c r="B220" s="1"/>
      <c r="C220" s="75"/>
      <c r="D220" s="1"/>
      <c r="E220" s="1"/>
      <c r="F220" s="1"/>
      <c r="G220" s="1"/>
      <c r="H220" s="86" t="str">
        <f>If(Miscellaneous!E220*Custom!C$5&gt; 256, "", Miscellaneous!E220*Custom!C$5)</f>
        <v/>
      </c>
      <c r="I220" s="1"/>
      <c r="J220" s="1"/>
    </row>
    <row r="221">
      <c r="A221" s="1"/>
      <c r="B221" s="1"/>
      <c r="C221" s="75"/>
      <c r="D221" s="1"/>
      <c r="E221" s="1"/>
      <c r="F221" s="1"/>
      <c r="G221" s="1"/>
      <c r="H221" s="86" t="str">
        <f>If(Miscellaneous!E221*Custom!C$5&gt; 256, "", Miscellaneous!E221*Custom!C$5)</f>
        <v/>
      </c>
      <c r="I221" s="1"/>
      <c r="J221" s="1"/>
    </row>
    <row r="222">
      <c r="A222" s="1"/>
      <c r="B222" s="1"/>
      <c r="C222" s="75"/>
      <c r="D222" s="1"/>
      <c r="E222" s="1"/>
      <c r="F222" s="1"/>
      <c r="G222" s="1"/>
      <c r="H222" s="86" t="str">
        <f>If(Miscellaneous!E222*Custom!C$5&gt; 256, "", Miscellaneous!E222*Custom!C$5)</f>
        <v/>
      </c>
      <c r="I222" s="1"/>
      <c r="J222" s="1"/>
    </row>
    <row r="223">
      <c r="A223" s="1"/>
      <c r="B223" s="1"/>
      <c r="C223" s="75"/>
      <c r="D223" s="1"/>
      <c r="E223" s="1"/>
      <c r="F223" s="1"/>
      <c r="G223" s="1"/>
      <c r="H223" s="86" t="str">
        <f>If(Miscellaneous!E223*Custom!C$5&gt; 256, "", Miscellaneous!E223*Custom!C$5)</f>
        <v/>
      </c>
      <c r="I223" s="1"/>
      <c r="J223" s="1"/>
    </row>
    <row r="224">
      <c r="A224" s="1"/>
      <c r="B224" s="1"/>
      <c r="C224" s="75"/>
      <c r="D224" s="1"/>
      <c r="E224" s="1"/>
      <c r="F224" s="1"/>
      <c r="G224" s="1"/>
      <c r="H224" s="86" t="str">
        <f>If(Miscellaneous!E224*Custom!C$5&gt; 256, "", Miscellaneous!E224*Custom!C$5)</f>
        <v/>
      </c>
      <c r="I224" s="1"/>
      <c r="J224" s="1"/>
    </row>
    <row r="225">
      <c r="A225" s="1"/>
      <c r="B225" s="1"/>
      <c r="C225" s="75"/>
      <c r="D225" s="1"/>
      <c r="E225" s="1"/>
      <c r="F225" s="1"/>
      <c r="G225" s="1"/>
      <c r="H225" s="86" t="str">
        <f>If(Miscellaneous!E225*Custom!C$5&gt; 256, "", Miscellaneous!E225*Custom!C$5)</f>
        <v/>
      </c>
      <c r="I225" s="1"/>
      <c r="J225" s="1"/>
    </row>
    <row r="226">
      <c r="A226" s="1"/>
      <c r="B226" s="1"/>
      <c r="C226" s="75"/>
      <c r="D226" s="1"/>
      <c r="E226" s="1"/>
      <c r="F226" s="1"/>
      <c r="G226" s="1"/>
      <c r="H226" s="86" t="str">
        <f>If(Miscellaneous!E226*Custom!C$5&gt; 256, "", Miscellaneous!E226*Custom!C$5)</f>
        <v/>
      </c>
      <c r="I226" s="1"/>
      <c r="J226" s="1"/>
    </row>
    <row r="227">
      <c r="A227" s="1"/>
      <c r="B227" s="1"/>
      <c r="C227" s="75"/>
      <c r="D227" s="1"/>
      <c r="E227" s="1"/>
      <c r="F227" s="1"/>
      <c r="G227" s="1"/>
      <c r="H227" s="86" t="str">
        <f>If(Miscellaneous!E227*Custom!C$5&gt; 256, "", Miscellaneous!E227*Custom!C$5)</f>
        <v/>
      </c>
      <c r="I227" s="1"/>
      <c r="J227" s="1"/>
    </row>
    <row r="228">
      <c r="A228" s="1"/>
      <c r="B228" s="1"/>
      <c r="C228" s="75"/>
      <c r="D228" s="1"/>
      <c r="E228" s="1"/>
      <c r="F228" s="1"/>
      <c r="G228" s="1"/>
      <c r="H228" s="86" t="str">
        <f>If(Miscellaneous!E228*Custom!C$5&gt; 256, "", Miscellaneous!E228*Custom!C$5)</f>
        <v/>
      </c>
      <c r="I228" s="1"/>
      <c r="J228" s="1"/>
    </row>
    <row r="229">
      <c r="A229" s="1"/>
      <c r="B229" s="1"/>
      <c r="C229" s="75"/>
      <c r="D229" s="1"/>
      <c r="E229" s="1"/>
      <c r="F229" s="1"/>
      <c r="G229" s="1"/>
      <c r="H229" s="86" t="str">
        <f>If(Miscellaneous!E229*Custom!C$5&gt; 256, "", Miscellaneous!E229*Custom!C$5)</f>
        <v/>
      </c>
      <c r="I229" s="1"/>
      <c r="J229" s="1"/>
    </row>
    <row r="230">
      <c r="A230" s="1"/>
      <c r="B230" s="1"/>
      <c r="C230" s="75"/>
      <c r="D230" s="1"/>
      <c r="E230" s="1"/>
      <c r="F230" s="1"/>
      <c r="G230" s="1"/>
      <c r="H230" s="86" t="str">
        <f>If(Miscellaneous!E230*Custom!C$5&gt; 256, "", Miscellaneous!E230*Custom!C$5)</f>
        <v/>
      </c>
      <c r="I230" s="1"/>
      <c r="J230" s="1"/>
    </row>
    <row r="231">
      <c r="A231" s="1"/>
      <c r="B231" s="1"/>
      <c r="C231" s="75"/>
      <c r="D231" s="1"/>
      <c r="E231" s="1"/>
      <c r="F231" s="1"/>
      <c r="G231" s="1"/>
      <c r="H231" s="86" t="str">
        <f>If(Miscellaneous!E231*Custom!C$5&gt; 256, "", Miscellaneous!E231*Custom!C$5)</f>
        <v/>
      </c>
      <c r="I231" s="1"/>
      <c r="J231" s="1"/>
    </row>
    <row r="232">
      <c r="A232" s="1"/>
      <c r="B232" s="1"/>
      <c r="C232" s="75"/>
      <c r="D232" s="1"/>
      <c r="E232" s="1"/>
      <c r="F232" s="1"/>
      <c r="G232" s="1"/>
      <c r="H232" s="86" t="str">
        <f>If(Miscellaneous!E232*Custom!C$5&gt; 256, "", Miscellaneous!E232*Custom!C$5)</f>
        <v/>
      </c>
      <c r="I232" s="1"/>
      <c r="J232" s="1"/>
    </row>
    <row r="233">
      <c r="A233" s="1"/>
      <c r="B233" s="1"/>
      <c r="C233" s="75"/>
      <c r="D233" s="1"/>
      <c r="E233" s="1"/>
      <c r="F233" s="1"/>
      <c r="G233" s="1"/>
      <c r="H233" s="86" t="str">
        <f>If(Miscellaneous!E233*Custom!C$5&gt; 256, "", Miscellaneous!E233*Custom!C$5)</f>
        <v/>
      </c>
      <c r="I233" s="1"/>
      <c r="J233" s="1"/>
    </row>
    <row r="234">
      <c r="A234" s="1"/>
      <c r="B234" s="1"/>
      <c r="C234" s="75"/>
      <c r="D234" s="1"/>
      <c r="E234" s="1"/>
      <c r="F234" s="1"/>
      <c r="G234" s="1"/>
      <c r="H234" s="86" t="str">
        <f>If(Miscellaneous!E234*Custom!C$5&gt; 256, "", Miscellaneous!E234*Custom!C$5)</f>
        <v/>
      </c>
      <c r="I234" s="1"/>
      <c r="J234" s="1"/>
    </row>
    <row r="235">
      <c r="A235" s="1"/>
      <c r="B235" s="1"/>
      <c r="C235" s="75"/>
      <c r="D235" s="1"/>
      <c r="E235" s="1"/>
      <c r="F235" s="1"/>
      <c r="G235" s="1"/>
      <c r="H235" s="86" t="str">
        <f>If(Miscellaneous!E235*Custom!C$5&gt; 256, "", Miscellaneous!E235*Custom!C$5)</f>
        <v/>
      </c>
      <c r="I235" s="1"/>
      <c r="J235" s="1"/>
    </row>
    <row r="236">
      <c r="A236" s="1"/>
      <c r="B236" s="1"/>
      <c r="C236" s="75"/>
      <c r="D236" s="1"/>
      <c r="E236" s="1"/>
      <c r="F236" s="1"/>
      <c r="G236" s="1"/>
      <c r="H236" s="86" t="str">
        <f>If(Miscellaneous!E236*Custom!C$5&gt; 256, "", Miscellaneous!E236*Custom!C$5)</f>
        <v/>
      </c>
      <c r="I236" s="1"/>
      <c r="J236" s="1"/>
    </row>
    <row r="237">
      <c r="A237" s="1"/>
      <c r="B237" s="1"/>
      <c r="C237" s="75"/>
      <c r="D237" s="1"/>
      <c r="E237" s="1"/>
      <c r="F237" s="1"/>
      <c r="G237" s="1"/>
      <c r="H237" s="86" t="str">
        <f>If(Miscellaneous!E237*Custom!C$5&gt; 256, "", Miscellaneous!E237*Custom!C$5)</f>
        <v/>
      </c>
      <c r="I237" s="1"/>
      <c r="J237" s="1"/>
    </row>
    <row r="238">
      <c r="A238" s="1"/>
      <c r="B238" s="1"/>
      <c r="C238" s="75"/>
      <c r="D238" s="1"/>
      <c r="E238" s="1"/>
      <c r="F238" s="1"/>
      <c r="G238" s="1"/>
      <c r="H238" s="86" t="str">
        <f>If(Miscellaneous!E238*Custom!C$5&gt; 256, "", Miscellaneous!E238*Custom!C$5)</f>
        <v/>
      </c>
      <c r="I238" s="1"/>
      <c r="J238" s="1"/>
    </row>
    <row r="239">
      <c r="A239" s="1"/>
      <c r="B239" s="1"/>
      <c r="C239" s="75"/>
      <c r="D239" s="1"/>
      <c r="E239" s="1"/>
      <c r="F239" s="1"/>
      <c r="G239" s="1"/>
      <c r="H239" s="86" t="str">
        <f>If(Miscellaneous!E239*Custom!C$5&gt; 256, "", Miscellaneous!E239*Custom!C$5)</f>
        <v/>
      </c>
      <c r="I239" s="1"/>
      <c r="J239" s="1"/>
    </row>
    <row r="240">
      <c r="A240" s="1"/>
      <c r="B240" s="1"/>
      <c r="C240" s="75"/>
      <c r="D240" s="1"/>
      <c r="E240" s="1"/>
      <c r="F240" s="1"/>
      <c r="G240" s="1"/>
      <c r="H240" s="86" t="str">
        <f>If(Miscellaneous!E240*Custom!C$5&gt; 256, "", Miscellaneous!E240*Custom!C$5)</f>
        <v/>
      </c>
      <c r="I240" s="1"/>
      <c r="J240" s="1"/>
    </row>
    <row r="241">
      <c r="A241" s="1"/>
      <c r="B241" s="1"/>
      <c r="C241" s="75"/>
      <c r="D241" s="1"/>
      <c r="E241" s="1"/>
      <c r="F241" s="1"/>
      <c r="G241" s="1"/>
      <c r="H241" s="86" t="str">
        <f>If(Miscellaneous!E241*Custom!C$5&gt; 256, "", Miscellaneous!E241*Custom!C$5)</f>
        <v/>
      </c>
      <c r="I241" s="1"/>
      <c r="J241" s="1"/>
    </row>
    <row r="242">
      <c r="A242" s="1"/>
      <c r="B242" s="1"/>
      <c r="C242" s="75"/>
      <c r="D242" s="1"/>
      <c r="E242" s="1"/>
      <c r="F242" s="1"/>
      <c r="G242" s="1"/>
      <c r="H242" s="86" t="str">
        <f>If(Miscellaneous!E242*Custom!C$5&gt; 256, "", Miscellaneous!E242*Custom!C$5)</f>
        <v/>
      </c>
      <c r="I242" s="1"/>
      <c r="J242" s="1"/>
    </row>
    <row r="243">
      <c r="A243" s="1"/>
      <c r="B243" s="1"/>
      <c r="C243" s="75"/>
      <c r="D243" s="1"/>
      <c r="E243" s="1"/>
      <c r="F243" s="1"/>
      <c r="G243" s="1"/>
      <c r="H243" s="86" t="str">
        <f>If(Miscellaneous!E243*Custom!C$5&gt; 256, "", Miscellaneous!E243*Custom!C$5)</f>
        <v/>
      </c>
      <c r="I243" s="1"/>
      <c r="J243" s="1"/>
    </row>
    <row r="244">
      <c r="A244" s="1"/>
      <c r="B244" s="1"/>
      <c r="C244" s="75"/>
      <c r="D244" s="1"/>
      <c r="E244" s="1"/>
      <c r="F244" s="1"/>
      <c r="G244" s="1"/>
      <c r="H244" s="86" t="str">
        <f>If(Miscellaneous!E244*Custom!C$5&gt; 256, "", Miscellaneous!E244*Custom!C$5)</f>
        <v/>
      </c>
      <c r="I244" s="1"/>
      <c r="J244" s="1"/>
    </row>
    <row r="245">
      <c r="A245" s="1"/>
      <c r="B245" s="1"/>
      <c r="C245" s="75"/>
      <c r="D245" s="1"/>
      <c r="E245" s="1"/>
      <c r="F245" s="1"/>
      <c r="G245" s="1"/>
      <c r="H245" s="86" t="str">
        <f>If(Miscellaneous!E245*Custom!C$5&gt; 256, "", Miscellaneous!E245*Custom!C$5)</f>
        <v/>
      </c>
      <c r="I245" s="1"/>
      <c r="J245" s="1"/>
    </row>
    <row r="246">
      <c r="A246" s="1"/>
      <c r="B246" s="1"/>
      <c r="C246" s="75"/>
      <c r="D246" s="1"/>
      <c r="E246" s="1"/>
      <c r="F246" s="1"/>
      <c r="G246" s="1"/>
      <c r="H246" s="86" t="str">
        <f>If(Miscellaneous!E246*Custom!C$5&gt; 256, "", Miscellaneous!E246*Custom!C$5)</f>
        <v/>
      </c>
      <c r="I246" s="1"/>
      <c r="J246" s="1"/>
    </row>
    <row r="247">
      <c r="A247" s="1"/>
      <c r="B247" s="1"/>
      <c r="C247" s="75"/>
      <c r="D247" s="1"/>
      <c r="E247" s="1"/>
      <c r="F247" s="1"/>
      <c r="G247" s="1"/>
      <c r="H247" s="86" t="str">
        <f>If(Miscellaneous!E247*Custom!C$5&gt; 256, "", Miscellaneous!E247*Custom!C$5)</f>
        <v/>
      </c>
      <c r="I247" s="1"/>
      <c r="J247" s="1"/>
    </row>
    <row r="248">
      <c r="A248" s="1"/>
      <c r="B248" s="1"/>
      <c r="C248" s="75"/>
      <c r="D248" s="1"/>
      <c r="E248" s="1"/>
      <c r="F248" s="1"/>
      <c r="G248" s="1"/>
      <c r="H248" s="86" t="str">
        <f>If(Miscellaneous!E248*Custom!C$5&gt; 256, "", Miscellaneous!E248*Custom!C$5)</f>
        <v/>
      </c>
      <c r="I248" s="1"/>
      <c r="J248" s="1"/>
    </row>
    <row r="249">
      <c r="A249" s="1"/>
      <c r="B249" s="1"/>
      <c r="C249" s="75"/>
      <c r="D249" s="1"/>
      <c r="E249" s="1"/>
      <c r="F249" s="1"/>
      <c r="G249" s="1"/>
      <c r="H249" s="86" t="str">
        <f>If(Miscellaneous!E249*Custom!C$5&gt; 256, "", Miscellaneous!E249*Custom!C$5)</f>
        <v/>
      </c>
      <c r="I249" s="1"/>
      <c r="J249" s="1"/>
    </row>
    <row r="250">
      <c r="A250" s="1"/>
      <c r="B250" s="1"/>
      <c r="C250" s="75"/>
      <c r="D250" s="1"/>
      <c r="E250" s="1"/>
      <c r="F250" s="1"/>
      <c r="G250" s="1"/>
      <c r="H250" s="86" t="str">
        <f>If(Miscellaneous!E250*Custom!C$5&gt; 256, "", Miscellaneous!E250*Custom!C$5)</f>
        <v/>
      </c>
      <c r="I250" s="1"/>
      <c r="J250" s="1"/>
    </row>
    <row r="251">
      <c r="A251" s="1"/>
      <c r="B251" s="1"/>
      <c r="C251" s="75"/>
      <c r="D251" s="1"/>
      <c r="E251" s="1"/>
      <c r="F251" s="1"/>
      <c r="G251" s="1"/>
      <c r="H251" s="86" t="str">
        <f>If(Miscellaneous!E251*Custom!C$5&gt; 256, "", Miscellaneous!E251*Custom!C$5)</f>
        <v/>
      </c>
      <c r="I251" s="1"/>
      <c r="J251" s="1"/>
    </row>
    <row r="252">
      <c r="A252" s="1"/>
      <c r="B252" s="1"/>
      <c r="C252" s="75"/>
      <c r="D252" s="1"/>
      <c r="E252" s="1"/>
      <c r="F252" s="1"/>
      <c r="G252" s="1"/>
      <c r="H252" s="86" t="str">
        <f>If(Miscellaneous!E252*Custom!C$5&gt; 256, "", Miscellaneous!E252*Custom!C$5)</f>
        <v/>
      </c>
      <c r="I252" s="1"/>
      <c r="J252" s="1"/>
    </row>
    <row r="253">
      <c r="A253" s="1"/>
      <c r="B253" s="1"/>
      <c r="C253" s="75"/>
      <c r="D253" s="1"/>
      <c r="E253" s="1"/>
      <c r="F253" s="1"/>
      <c r="G253" s="1"/>
      <c r="H253" s="86" t="str">
        <f>If(Miscellaneous!E253*Custom!C$5&gt; 256, "", Miscellaneous!E253*Custom!C$5)</f>
        <v/>
      </c>
      <c r="I253" s="1"/>
      <c r="J253" s="1"/>
    </row>
    <row r="254">
      <c r="A254" s="1"/>
      <c r="B254" s="1"/>
      <c r="C254" s="75"/>
      <c r="D254" s="1"/>
      <c r="E254" s="1"/>
      <c r="F254" s="1"/>
      <c r="G254" s="1"/>
      <c r="H254" s="86" t="str">
        <f>If(Miscellaneous!E254*Custom!C$5&gt; 256, "", Miscellaneous!E254*Custom!C$5)</f>
        <v/>
      </c>
      <c r="I254" s="1"/>
      <c r="J254" s="1"/>
    </row>
    <row r="255">
      <c r="A255" s="1"/>
      <c r="B255" s="1"/>
      <c r="C255" s="75"/>
      <c r="D255" s="1"/>
      <c r="E255" s="1"/>
      <c r="F255" s="1"/>
      <c r="G255" s="1"/>
      <c r="H255" s="86" t="str">
        <f>If(Miscellaneous!E255*Custom!C$5&gt; 256, "", Miscellaneous!E255*Custom!C$5)</f>
        <v/>
      </c>
      <c r="I255" s="1"/>
      <c r="J255" s="1"/>
    </row>
    <row r="256">
      <c r="A256" s="1"/>
      <c r="B256" s="1"/>
      <c r="C256" s="75"/>
      <c r="D256" s="1"/>
      <c r="E256" s="1"/>
      <c r="F256" s="1"/>
      <c r="G256" s="1"/>
      <c r="H256" s="86" t="str">
        <f>If(Miscellaneous!E256*Custom!C$5&gt; 256, "", Miscellaneous!E256*Custom!C$5)</f>
        <v/>
      </c>
      <c r="I256" s="1"/>
      <c r="J256" s="1"/>
    </row>
    <row r="257">
      <c r="A257" s="1"/>
      <c r="B257" s="1"/>
      <c r="C257" s="75"/>
      <c r="D257" s="1"/>
      <c r="E257" s="1"/>
      <c r="F257" s="1"/>
      <c r="G257" s="1"/>
      <c r="H257" s="86" t="str">
        <f>If(Miscellaneous!E257*Custom!C$5&gt; 256, "", Miscellaneous!E257*Custom!C$5)</f>
        <v/>
      </c>
      <c r="I257" s="1"/>
      <c r="J257" s="1"/>
    </row>
    <row r="258">
      <c r="A258" s="1"/>
      <c r="B258" s="1"/>
      <c r="C258" s="75"/>
      <c r="D258" s="1"/>
      <c r="E258" s="1"/>
      <c r="F258" s="1"/>
      <c r="G258" s="1"/>
      <c r="I258" s="1"/>
      <c r="J258" s="1"/>
    </row>
    <row r="259">
      <c r="A259" s="1"/>
      <c r="B259" s="1"/>
      <c r="C259" s="75"/>
      <c r="D259" s="1"/>
      <c r="E259" s="1"/>
      <c r="F259" s="1"/>
      <c r="G259" s="1"/>
      <c r="I259" s="1"/>
      <c r="J259" s="1"/>
    </row>
    <row r="260">
      <c r="A260" s="1"/>
      <c r="B260" s="1"/>
      <c r="C260" s="75"/>
      <c r="D260" s="1"/>
      <c r="E260" s="1"/>
      <c r="F260" s="1"/>
      <c r="G260" s="1"/>
      <c r="I260" s="1"/>
      <c r="J260" s="1"/>
    </row>
    <row r="261">
      <c r="A261" s="1"/>
      <c r="B261" s="1"/>
      <c r="C261" s="75"/>
      <c r="D261" s="1"/>
      <c r="E261" s="1"/>
      <c r="F261" s="1"/>
      <c r="G261" s="1"/>
      <c r="I261" s="1"/>
      <c r="J261" s="1"/>
    </row>
    <row r="262">
      <c r="A262" s="1"/>
      <c r="B262" s="1"/>
      <c r="C262" s="75"/>
      <c r="D262" s="1"/>
      <c r="E262" s="1"/>
      <c r="F262" s="1"/>
      <c r="G262" s="1"/>
      <c r="I262" s="1"/>
      <c r="J262" s="1"/>
    </row>
    <row r="263">
      <c r="A263" s="1"/>
      <c r="B263" s="1"/>
      <c r="C263" s="75"/>
      <c r="D263" s="1"/>
      <c r="E263" s="1"/>
      <c r="F263" s="1"/>
      <c r="G263" s="1"/>
      <c r="I263" s="1"/>
      <c r="J263" s="1"/>
    </row>
    <row r="264">
      <c r="A264" s="1"/>
      <c r="B264" s="1"/>
      <c r="C264" s="75"/>
      <c r="D264" s="1"/>
      <c r="E264" s="1"/>
      <c r="F264" s="1"/>
      <c r="G264" s="1"/>
      <c r="I264" s="1"/>
      <c r="J264" s="1"/>
    </row>
    <row r="265">
      <c r="A265" s="1"/>
      <c r="B265" s="1"/>
      <c r="C265" s="75"/>
      <c r="D265" s="1"/>
      <c r="E265" s="1"/>
      <c r="F265" s="1"/>
      <c r="G265" s="1"/>
      <c r="I265" s="1"/>
      <c r="J265" s="1"/>
    </row>
    <row r="266">
      <c r="A266" s="1"/>
      <c r="B266" s="1"/>
      <c r="C266" s="75"/>
      <c r="D266" s="1"/>
      <c r="E266" s="1"/>
      <c r="F266" s="1"/>
      <c r="G266" s="1"/>
      <c r="I266" s="1"/>
      <c r="J266" s="1"/>
    </row>
    <row r="267">
      <c r="A267" s="1"/>
      <c r="B267" s="1"/>
      <c r="C267" s="75"/>
      <c r="D267" s="1"/>
      <c r="E267" s="1"/>
      <c r="F267" s="1"/>
      <c r="G267" s="1"/>
      <c r="I267" s="1"/>
      <c r="J267" s="1"/>
    </row>
    <row r="268">
      <c r="A268" s="1"/>
      <c r="B268" s="1"/>
      <c r="C268" s="75"/>
      <c r="D268" s="1"/>
      <c r="E268" s="1"/>
      <c r="F268" s="1"/>
      <c r="G268" s="1"/>
      <c r="I268" s="1"/>
      <c r="J268" s="1"/>
    </row>
    <row r="269">
      <c r="A269" s="1"/>
      <c r="B269" s="1"/>
      <c r="C269" s="75"/>
      <c r="D269" s="1"/>
      <c r="E269" s="1"/>
      <c r="F269" s="1"/>
      <c r="G269" s="1"/>
      <c r="I269" s="1"/>
      <c r="J269" s="1"/>
    </row>
    <row r="270">
      <c r="A270" s="1"/>
      <c r="B270" s="1"/>
      <c r="C270" s="75"/>
      <c r="D270" s="1"/>
      <c r="E270" s="1"/>
      <c r="F270" s="1"/>
      <c r="G270" s="1"/>
      <c r="I270" s="1"/>
      <c r="J270" s="1"/>
    </row>
    <row r="271">
      <c r="A271" s="1"/>
      <c r="B271" s="1"/>
      <c r="C271" s="75"/>
      <c r="D271" s="1"/>
      <c r="E271" s="1"/>
      <c r="F271" s="1"/>
      <c r="G271" s="1"/>
      <c r="I271" s="1"/>
      <c r="J271" s="1"/>
    </row>
    <row r="272">
      <c r="A272" s="1"/>
      <c r="B272" s="1"/>
      <c r="C272" s="75"/>
      <c r="D272" s="1"/>
      <c r="E272" s="1"/>
      <c r="F272" s="1"/>
      <c r="G272" s="1"/>
      <c r="I272" s="1"/>
      <c r="J272" s="1"/>
    </row>
    <row r="273">
      <c r="A273" s="1"/>
      <c r="B273" s="1"/>
      <c r="C273" s="75"/>
      <c r="D273" s="1"/>
      <c r="E273" s="1"/>
      <c r="F273" s="1"/>
      <c r="G273" s="1"/>
      <c r="I273" s="1"/>
      <c r="J273" s="1"/>
    </row>
    <row r="274">
      <c r="A274" s="1"/>
      <c r="B274" s="1"/>
      <c r="C274" s="75"/>
      <c r="D274" s="1"/>
      <c r="E274" s="1"/>
      <c r="F274" s="1"/>
      <c r="G274" s="1"/>
      <c r="I274" s="1"/>
      <c r="J274" s="1"/>
    </row>
    <row r="275">
      <c r="A275" s="1"/>
      <c r="B275" s="1"/>
      <c r="C275" s="75"/>
      <c r="D275" s="1"/>
      <c r="E275" s="1"/>
      <c r="F275" s="1"/>
      <c r="G275" s="1"/>
      <c r="I275" s="1"/>
      <c r="J275" s="1"/>
    </row>
    <row r="276">
      <c r="A276" s="1"/>
      <c r="B276" s="1"/>
      <c r="C276" s="75"/>
      <c r="D276" s="1"/>
      <c r="E276" s="1"/>
      <c r="F276" s="1"/>
      <c r="G276" s="1"/>
      <c r="I276" s="1"/>
      <c r="J276" s="1"/>
    </row>
    <row r="277">
      <c r="A277" s="1"/>
      <c r="B277" s="1"/>
      <c r="C277" s="75"/>
      <c r="D277" s="1"/>
      <c r="E277" s="1"/>
      <c r="F277" s="1"/>
      <c r="G277" s="1"/>
      <c r="I277" s="1"/>
      <c r="J277" s="1"/>
    </row>
    <row r="278">
      <c r="A278" s="1"/>
      <c r="B278" s="1"/>
      <c r="C278" s="75"/>
      <c r="D278" s="1"/>
      <c r="E278" s="1"/>
      <c r="F278" s="1"/>
      <c r="G278" s="1"/>
      <c r="I278" s="1"/>
      <c r="J278" s="1"/>
    </row>
    <row r="279">
      <c r="A279" s="1"/>
      <c r="B279" s="1"/>
      <c r="C279" s="75"/>
      <c r="D279" s="1"/>
      <c r="E279" s="1"/>
      <c r="F279" s="1"/>
      <c r="G279" s="1"/>
      <c r="I279" s="1"/>
      <c r="J279" s="1"/>
    </row>
    <row r="280">
      <c r="A280" s="1"/>
      <c r="B280" s="1"/>
      <c r="C280" s="75"/>
      <c r="D280" s="1"/>
      <c r="E280" s="1"/>
      <c r="F280" s="1"/>
      <c r="G280" s="1"/>
      <c r="I280" s="1"/>
      <c r="J280" s="1"/>
    </row>
    <row r="281">
      <c r="A281" s="1"/>
      <c r="B281" s="1"/>
      <c r="C281" s="75"/>
      <c r="D281" s="1"/>
      <c r="E281" s="1"/>
      <c r="F281" s="1"/>
      <c r="G281" s="1"/>
      <c r="I281" s="1"/>
      <c r="J281" s="1"/>
    </row>
    <row r="282">
      <c r="A282" s="1"/>
      <c r="B282" s="1"/>
      <c r="C282" s="75"/>
      <c r="D282" s="1"/>
      <c r="E282" s="1"/>
      <c r="F282" s="1"/>
      <c r="G282" s="1"/>
      <c r="I282" s="1"/>
      <c r="J282" s="1"/>
    </row>
    <row r="283">
      <c r="A283" s="1"/>
      <c r="B283" s="1"/>
      <c r="C283" s="75"/>
      <c r="D283" s="1"/>
      <c r="E283" s="1"/>
      <c r="F283" s="1"/>
      <c r="G283" s="1"/>
      <c r="I283" s="1"/>
      <c r="J283" s="1"/>
    </row>
    <row r="284">
      <c r="A284" s="1"/>
      <c r="B284" s="1"/>
      <c r="C284" s="75"/>
      <c r="D284" s="1"/>
      <c r="E284" s="1"/>
      <c r="F284" s="1"/>
      <c r="G284" s="1"/>
      <c r="I284" s="1"/>
      <c r="J284" s="1"/>
    </row>
    <row r="285">
      <c r="A285" s="1"/>
      <c r="B285" s="1"/>
      <c r="C285" s="75"/>
      <c r="D285" s="1"/>
      <c r="E285" s="1"/>
      <c r="F285" s="1"/>
      <c r="G285" s="1"/>
      <c r="I285" s="1"/>
      <c r="J285" s="1"/>
    </row>
    <row r="286">
      <c r="A286" s="1"/>
      <c r="B286" s="1"/>
      <c r="C286" s="75"/>
      <c r="D286" s="1"/>
      <c r="E286" s="1"/>
      <c r="F286" s="1"/>
      <c r="G286" s="1"/>
      <c r="I286" s="1"/>
      <c r="J286" s="1"/>
    </row>
    <row r="287">
      <c r="A287" s="1"/>
      <c r="B287" s="1"/>
      <c r="C287" s="75"/>
      <c r="D287" s="1"/>
      <c r="E287" s="1"/>
      <c r="F287" s="1"/>
      <c r="G287" s="1"/>
      <c r="I287" s="1"/>
      <c r="J287" s="1"/>
    </row>
    <row r="288">
      <c r="A288" s="1"/>
      <c r="B288" s="1"/>
      <c r="C288" s="75"/>
      <c r="D288" s="1"/>
      <c r="E288" s="1"/>
      <c r="F288" s="1"/>
      <c r="G288" s="1"/>
      <c r="I288" s="1"/>
      <c r="J288" s="1"/>
    </row>
    <row r="289">
      <c r="A289" s="1"/>
      <c r="B289" s="1"/>
      <c r="C289" s="75"/>
      <c r="D289" s="1"/>
      <c r="E289" s="1"/>
      <c r="F289" s="1"/>
      <c r="G289" s="1"/>
      <c r="I289" s="1"/>
      <c r="J289" s="1"/>
    </row>
    <row r="290">
      <c r="A290" s="1"/>
      <c r="B290" s="1"/>
      <c r="C290" s="75"/>
      <c r="D290" s="1"/>
      <c r="E290" s="1"/>
      <c r="F290" s="1"/>
      <c r="G290" s="1"/>
      <c r="I290" s="1"/>
      <c r="J290" s="1"/>
    </row>
    <row r="291">
      <c r="A291" s="1"/>
      <c r="B291" s="1"/>
      <c r="C291" s="75"/>
      <c r="D291" s="1"/>
      <c r="E291" s="1"/>
      <c r="F291" s="1"/>
      <c r="G291" s="1"/>
      <c r="I291" s="1"/>
      <c r="J291" s="1"/>
    </row>
    <row r="292">
      <c r="A292" s="1"/>
      <c r="B292" s="1"/>
      <c r="C292" s="75"/>
      <c r="D292" s="1"/>
      <c r="E292" s="1"/>
      <c r="F292" s="1"/>
      <c r="G292" s="1"/>
      <c r="I292" s="1"/>
      <c r="J292" s="1"/>
    </row>
    <row r="293">
      <c r="A293" s="1"/>
      <c r="B293" s="1"/>
      <c r="C293" s="75"/>
      <c r="D293" s="1"/>
      <c r="E293" s="1"/>
      <c r="F293" s="1"/>
      <c r="G293" s="1"/>
      <c r="I293" s="1"/>
      <c r="J293" s="1"/>
    </row>
    <row r="294">
      <c r="A294" s="1"/>
      <c r="B294" s="1"/>
      <c r="C294" s="75"/>
      <c r="D294" s="1"/>
      <c r="E294" s="1"/>
      <c r="F294" s="1"/>
      <c r="G294" s="1"/>
      <c r="I294" s="1"/>
      <c r="J294" s="1"/>
    </row>
    <row r="295">
      <c r="A295" s="1"/>
      <c r="B295" s="1"/>
      <c r="C295" s="75"/>
      <c r="D295" s="1"/>
      <c r="E295" s="1"/>
      <c r="F295" s="1"/>
      <c r="G295" s="1"/>
      <c r="I295" s="1"/>
      <c r="J295" s="1"/>
    </row>
    <row r="296">
      <c r="A296" s="1"/>
      <c r="B296" s="1"/>
      <c r="C296" s="75"/>
      <c r="D296" s="1"/>
      <c r="E296" s="1"/>
      <c r="F296" s="1"/>
      <c r="G296" s="1"/>
      <c r="I296" s="1"/>
      <c r="J296" s="1"/>
    </row>
    <row r="297">
      <c r="A297" s="1"/>
      <c r="B297" s="1"/>
      <c r="C297" s="75"/>
      <c r="D297" s="1"/>
      <c r="E297" s="1"/>
      <c r="F297" s="1"/>
      <c r="G297" s="1"/>
      <c r="I297" s="1"/>
      <c r="J297" s="1"/>
    </row>
    <row r="298">
      <c r="A298" s="1"/>
      <c r="B298" s="1"/>
      <c r="C298" s="75"/>
      <c r="D298" s="1"/>
      <c r="E298" s="1"/>
      <c r="F298" s="1"/>
      <c r="G298" s="1"/>
      <c r="I298" s="1"/>
      <c r="J298" s="1"/>
    </row>
    <row r="299">
      <c r="A299" s="1"/>
      <c r="B299" s="1"/>
      <c r="C299" s="75"/>
      <c r="D299" s="1"/>
      <c r="E299" s="1"/>
      <c r="F299" s="1"/>
      <c r="G299" s="1"/>
      <c r="I299" s="1"/>
      <c r="J299" s="1"/>
    </row>
    <row r="300">
      <c r="A300" s="1"/>
      <c r="B300" s="1"/>
      <c r="C300" s="75"/>
      <c r="D300" s="1"/>
      <c r="E300" s="1"/>
      <c r="F300" s="1"/>
      <c r="G300" s="1"/>
      <c r="I300" s="1"/>
      <c r="J300" s="1"/>
    </row>
    <row r="301">
      <c r="A301" s="1"/>
      <c r="B301" s="1"/>
      <c r="C301" s="75"/>
      <c r="D301" s="1"/>
      <c r="E301" s="1"/>
      <c r="F301" s="1"/>
      <c r="G301" s="1"/>
      <c r="I301" s="1"/>
      <c r="J301" s="1"/>
    </row>
    <row r="302">
      <c r="A302" s="1"/>
      <c r="B302" s="1"/>
      <c r="C302" s="75"/>
      <c r="D302" s="1"/>
      <c r="E302" s="1"/>
      <c r="F302" s="1"/>
      <c r="G302" s="1"/>
      <c r="I302" s="1"/>
      <c r="J302" s="1"/>
    </row>
    <row r="303">
      <c r="A303" s="1"/>
      <c r="B303" s="1"/>
      <c r="C303" s="75"/>
      <c r="D303" s="1"/>
      <c r="E303" s="1"/>
      <c r="F303" s="1"/>
      <c r="G303" s="1"/>
      <c r="I303" s="1"/>
      <c r="J303" s="1"/>
    </row>
    <row r="304">
      <c r="A304" s="1"/>
      <c r="B304" s="1"/>
      <c r="C304" s="75"/>
      <c r="D304" s="1"/>
      <c r="E304" s="1"/>
      <c r="F304" s="1"/>
      <c r="G304" s="1"/>
      <c r="I304" s="1"/>
      <c r="J304" s="1"/>
    </row>
    <row r="305">
      <c r="A305" s="1"/>
      <c r="B305" s="1"/>
      <c r="C305" s="75"/>
      <c r="D305" s="1"/>
      <c r="E305" s="1"/>
      <c r="F305" s="1"/>
      <c r="G305" s="1"/>
      <c r="I305" s="1"/>
      <c r="J305" s="1"/>
    </row>
    <row r="306">
      <c r="A306" s="1"/>
      <c r="B306" s="1"/>
      <c r="C306" s="75"/>
      <c r="D306" s="1"/>
      <c r="E306" s="1"/>
      <c r="F306" s="1"/>
      <c r="G306" s="1"/>
      <c r="I306" s="1"/>
      <c r="J306" s="1"/>
    </row>
    <row r="307">
      <c r="A307" s="1"/>
      <c r="B307" s="1"/>
      <c r="C307" s="75"/>
      <c r="D307" s="1"/>
      <c r="E307" s="1"/>
      <c r="F307" s="1"/>
      <c r="G307" s="1"/>
      <c r="I307" s="1"/>
      <c r="J307" s="1"/>
    </row>
    <row r="308">
      <c r="A308" s="1"/>
      <c r="B308" s="1"/>
      <c r="C308" s="75"/>
      <c r="D308" s="1"/>
      <c r="E308" s="1"/>
      <c r="F308" s="1"/>
      <c r="G308" s="1"/>
      <c r="I308" s="1"/>
      <c r="J308" s="1"/>
    </row>
    <row r="309">
      <c r="A309" s="1"/>
      <c r="B309" s="1"/>
      <c r="C309" s="75"/>
      <c r="D309" s="1"/>
      <c r="E309" s="1"/>
      <c r="F309" s="1"/>
      <c r="G309" s="1"/>
      <c r="I309" s="1"/>
      <c r="J309" s="1"/>
    </row>
    <row r="310">
      <c r="A310" s="1"/>
      <c r="B310" s="1"/>
      <c r="C310" s="75"/>
      <c r="D310" s="1"/>
      <c r="E310" s="1"/>
      <c r="F310" s="1"/>
      <c r="G310" s="1"/>
      <c r="I310" s="1"/>
      <c r="J310" s="1"/>
    </row>
    <row r="311">
      <c r="A311" s="1"/>
      <c r="B311" s="1"/>
      <c r="C311" s="75"/>
      <c r="D311" s="1"/>
      <c r="E311" s="1"/>
      <c r="F311" s="1"/>
      <c r="G311" s="1"/>
      <c r="I311" s="1"/>
      <c r="J311" s="1"/>
    </row>
    <row r="312">
      <c r="A312" s="1"/>
      <c r="B312" s="1"/>
      <c r="C312" s="75"/>
      <c r="D312" s="1"/>
      <c r="E312" s="1"/>
      <c r="F312" s="1"/>
      <c r="G312" s="1"/>
      <c r="I312" s="1"/>
      <c r="J312" s="1"/>
    </row>
    <row r="313">
      <c r="A313" s="1"/>
      <c r="B313" s="1"/>
      <c r="C313" s="75"/>
      <c r="D313" s="1"/>
      <c r="E313" s="1"/>
      <c r="F313" s="1"/>
      <c r="G313" s="1"/>
      <c r="I313" s="1"/>
      <c r="J313" s="1"/>
    </row>
    <row r="314">
      <c r="A314" s="1"/>
      <c r="B314" s="1"/>
      <c r="C314" s="75"/>
      <c r="D314" s="1"/>
      <c r="E314" s="1"/>
      <c r="F314" s="1"/>
      <c r="G314" s="1"/>
      <c r="I314" s="1"/>
      <c r="J314" s="1"/>
    </row>
    <row r="315">
      <c r="A315" s="1"/>
      <c r="B315" s="1"/>
      <c r="C315" s="75"/>
      <c r="D315" s="1"/>
      <c r="E315" s="1"/>
      <c r="F315" s="1"/>
      <c r="G315" s="1"/>
      <c r="I315" s="1"/>
      <c r="J315" s="1"/>
    </row>
    <row r="316">
      <c r="A316" s="1"/>
      <c r="B316" s="1"/>
      <c r="C316" s="75"/>
      <c r="D316" s="1"/>
      <c r="E316" s="1"/>
      <c r="F316" s="1"/>
      <c r="G316" s="1"/>
      <c r="I316" s="1"/>
      <c r="J316" s="1"/>
    </row>
    <row r="317">
      <c r="A317" s="1"/>
      <c r="B317" s="1"/>
      <c r="C317" s="75"/>
      <c r="D317" s="1"/>
      <c r="E317" s="1"/>
      <c r="F317" s="1"/>
      <c r="G317" s="1"/>
      <c r="I317" s="1"/>
      <c r="J317" s="1"/>
    </row>
    <row r="318">
      <c r="A318" s="1"/>
      <c r="B318" s="1"/>
      <c r="C318" s="75"/>
      <c r="D318" s="1"/>
      <c r="E318" s="1"/>
      <c r="F318" s="1"/>
      <c r="G318" s="1"/>
      <c r="I318" s="1"/>
      <c r="J318" s="1"/>
    </row>
    <row r="319">
      <c r="A319" s="1"/>
      <c r="B319" s="1"/>
      <c r="C319" s="75"/>
      <c r="D319" s="1"/>
      <c r="E319" s="1"/>
      <c r="F319" s="1"/>
      <c r="G319" s="1"/>
      <c r="I319" s="1"/>
      <c r="J319" s="1"/>
    </row>
    <row r="320">
      <c r="A320" s="1"/>
      <c r="B320" s="1"/>
      <c r="C320" s="75"/>
      <c r="D320" s="1"/>
      <c r="E320" s="1"/>
      <c r="F320" s="1"/>
      <c r="G320" s="1"/>
      <c r="I320" s="1"/>
      <c r="J320" s="1"/>
    </row>
    <row r="321">
      <c r="A321" s="1"/>
      <c r="B321" s="1"/>
      <c r="C321" s="75"/>
      <c r="D321" s="1"/>
      <c r="E321" s="1"/>
      <c r="F321" s="1"/>
      <c r="G321" s="1"/>
      <c r="I321" s="1"/>
      <c r="J321" s="1"/>
    </row>
    <row r="322">
      <c r="A322" s="1"/>
      <c r="B322" s="1"/>
      <c r="C322" s="75"/>
      <c r="D322" s="1"/>
      <c r="E322" s="1"/>
      <c r="F322" s="1"/>
      <c r="G322" s="1"/>
      <c r="I322" s="1"/>
      <c r="J322" s="1"/>
    </row>
    <row r="323">
      <c r="A323" s="1"/>
      <c r="B323" s="1"/>
      <c r="C323" s="75"/>
      <c r="D323" s="1"/>
      <c r="E323" s="1"/>
      <c r="F323" s="1"/>
      <c r="G323" s="1"/>
      <c r="I323" s="1"/>
      <c r="J323" s="1"/>
    </row>
    <row r="324">
      <c r="A324" s="1"/>
      <c r="B324" s="1"/>
      <c r="C324" s="75"/>
      <c r="D324" s="1"/>
      <c r="E324" s="1"/>
      <c r="F324" s="1"/>
      <c r="G324" s="1"/>
      <c r="I324" s="1"/>
      <c r="J324" s="1"/>
    </row>
    <row r="325">
      <c r="A325" s="1"/>
      <c r="B325" s="1"/>
      <c r="C325" s="75"/>
      <c r="D325" s="1"/>
      <c r="E325" s="1"/>
      <c r="F325" s="1"/>
      <c r="G325" s="1"/>
      <c r="I325" s="1"/>
      <c r="J325" s="1"/>
    </row>
    <row r="326">
      <c r="A326" s="1"/>
      <c r="B326" s="1"/>
      <c r="C326" s="75"/>
      <c r="D326" s="1"/>
      <c r="E326" s="1"/>
      <c r="F326" s="1"/>
      <c r="G326" s="1"/>
      <c r="I326" s="1"/>
      <c r="J326" s="1"/>
    </row>
    <row r="327">
      <c r="A327" s="1"/>
      <c r="B327" s="1"/>
      <c r="C327" s="75"/>
      <c r="D327" s="1"/>
      <c r="E327" s="1"/>
      <c r="F327" s="1"/>
      <c r="G327" s="1"/>
      <c r="I327" s="1"/>
      <c r="J327" s="1"/>
    </row>
    <row r="328">
      <c r="A328" s="1"/>
      <c r="B328" s="1"/>
      <c r="C328" s="75"/>
      <c r="D328" s="1"/>
      <c r="E328" s="1"/>
      <c r="F328" s="1"/>
      <c r="G328" s="1"/>
      <c r="I328" s="1"/>
      <c r="J328" s="1"/>
    </row>
    <row r="329">
      <c r="A329" s="1"/>
      <c r="B329" s="1"/>
      <c r="C329" s="75"/>
      <c r="D329" s="1"/>
      <c r="E329" s="1"/>
      <c r="F329" s="1"/>
      <c r="G329" s="1"/>
      <c r="I329" s="1"/>
      <c r="J329" s="1"/>
    </row>
    <row r="330">
      <c r="A330" s="1"/>
      <c r="B330" s="1"/>
      <c r="C330" s="75"/>
      <c r="D330" s="1"/>
      <c r="E330" s="1"/>
      <c r="F330" s="1"/>
      <c r="G330" s="1"/>
      <c r="I330" s="1"/>
      <c r="J330" s="1"/>
    </row>
    <row r="331">
      <c r="A331" s="1"/>
      <c r="B331" s="1"/>
      <c r="C331" s="75"/>
      <c r="D331" s="1"/>
      <c r="E331" s="1"/>
      <c r="F331" s="1"/>
      <c r="G331" s="1"/>
      <c r="I331" s="1"/>
      <c r="J331" s="1"/>
    </row>
    <row r="332">
      <c r="A332" s="1"/>
      <c r="B332" s="1"/>
      <c r="C332" s="75"/>
      <c r="D332" s="1"/>
      <c r="E332" s="1"/>
      <c r="F332" s="1"/>
      <c r="G332" s="1"/>
      <c r="I332" s="1"/>
      <c r="J332" s="1"/>
    </row>
    <row r="333">
      <c r="A333" s="1"/>
      <c r="B333" s="1"/>
      <c r="C333" s="75"/>
      <c r="D333" s="1"/>
      <c r="E333" s="1"/>
      <c r="F333" s="1"/>
      <c r="G333" s="1"/>
      <c r="I333" s="1"/>
      <c r="J333" s="1"/>
    </row>
    <row r="334">
      <c r="A334" s="1"/>
      <c r="B334" s="1"/>
      <c r="C334" s="75"/>
      <c r="D334" s="1"/>
      <c r="E334" s="1"/>
      <c r="F334" s="1"/>
      <c r="G334" s="1"/>
      <c r="I334" s="1"/>
      <c r="J334" s="1"/>
    </row>
    <row r="335">
      <c r="A335" s="1"/>
      <c r="B335" s="1"/>
      <c r="C335" s="75"/>
      <c r="D335" s="1"/>
      <c r="E335" s="1"/>
      <c r="F335" s="1"/>
      <c r="G335" s="1"/>
      <c r="I335" s="1"/>
      <c r="J335" s="1"/>
    </row>
    <row r="336">
      <c r="A336" s="1"/>
      <c r="B336" s="1"/>
      <c r="C336" s="75"/>
      <c r="D336" s="1"/>
      <c r="E336" s="1"/>
      <c r="F336" s="1"/>
      <c r="G336" s="1"/>
      <c r="I336" s="1"/>
      <c r="J336" s="1"/>
    </row>
    <row r="337">
      <c r="A337" s="1"/>
      <c r="B337" s="1"/>
      <c r="C337" s="75"/>
      <c r="D337" s="1"/>
      <c r="E337" s="1"/>
      <c r="F337" s="1"/>
      <c r="G337" s="1"/>
      <c r="I337" s="1"/>
      <c r="J337" s="1"/>
    </row>
    <row r="338">
      <c r="A338" s="1"/>
      <c r="B338" s="1"/>
      <c r="C338" s="75"/>
      <c r="D338" s="1"/>
      <c r="E338" s="1"/>
      <c r="F338" s="1"/>
      <c r="G338" s="1"/>
      <c r="I338" s="1"/>
      <c r="J338" s="1"/>
    </row>
    <row r="339">
      <c r="A339" s="1"/>
      <c r="B339" s="1"/>
      <c r="C339" s="75"/>
      <c r="D339" s="1"/>
      <c r="E339" s="1"/>
      <c r="F339" s="1"/>
      <c r="G339" s="1"/>
      <c r="I339" s="1"/>
      <c r="J339" s="1"/>
    </row>
    <row r="340">
      <c r="A340" s="1"/>
      <c r="B340" s="1"/>
      <c r="C340" s="75"/>
      <c r="D340" s="1"/>
      <c r="E340" s="1"/>
      <c r="F340" s="1"/>
      <c r="G340" s="1"/>
      <c r="I340" s="1"/>
      <c r="J340" s="1"/>
    </row>
    <row r="341">
      <c r="A341" s="1"/>
      <c r="B341" s="1"/>
      <c r="C341" s="75"/>
      <c r="D341" s="1"/>
      <c r="E341" s="1"/>
      <c r="F341" s="1"/>
      <c r="G341" s="1"/>
      <c r="I341" s="1"/>
      <c r="J341" s="1"/>
    </row>
    <row r="342">
      <c r="A342" s="1"/>
      <c r="B342" s="1"/>
      <c r="C342" s="75"/>
      <c r="D342" s="1"/>
      <c r="E342" s="1"/>
      <c r="F342" s="1"/>
      <c r="G342" s="1"/>
      <c r="I342" s="1"/>
      <c r="J342" s="1"/>
    </row>
    <row r="343">
      <c r="A343" s="1"/>
      <c r="B343" s="1"/>
      <c r="C343" s="75"/>
      <c r="D343" s="1"/>
      <c r="E343" s="1"/>
      <c r="F343" s="1"/>
      <c r="G343" s="1"/>
      <c r="I343" s="1"/>
      <c r="J343" s="1"/>
    </row>
    <row r="344">
      <c r="A344" s="1"/>
      <c r="B344" s="1"/>
      <c r="C344" s="75"/>
      <c r="D344" s="1"/>
      <c r="E344" s="1"/>
      <c r="F344" s="1"/>
      <c r="G344" s="1"/>
      <c r="I344" s="1"/>
      <c r="J344" s="1"/>
    </row>
    <row r="345">
      <c r="A345" s="1"/>
      <c r="B345" s="1"/>
      <c r="C345" s="75"/>
      <c r="D345" s="1"/>
      <c r="E345" s="1"/>
      <c r="F345" s="1"/>
      <c r="G345" s="1"/>
      <c r="I345" s="1"/>
      <c r="J345" s="1"/>
    </row>
    <row r="346">
      <c r="A346" s="1"/>
      <c r="B346" s="1"/>
      <c r="C346" s="75"/>
      <c r="D346" s="1"/>
      <c r="E346" s="1"/>
      <c r="F346" s="1"/>
      <c r="G346" s="1"/>
      <c r="I346" s="1"/>
      <c r="J346" s="1"/>
    </row>
    <row r="347">
      <c r="A347" s="1"/>
      <c r="B347" s="1"/>
      <c r="C347" s="75"/>
      <c r="D347" s="1"/>
      <c r="E347" s="1"/>
      <c r="F347" s="1"/>
      <c r="G347" s="1"/>
      <c r="I347" s="1"/>
      <c r="J347" s="1"/>
    </row>
    <row r="348">
      <c r="A348" s="1"/>
      <c r="B348" s="1"/>
      <c r="C348" s="75"/>
      <c r="D348" s="1"/>
      <c r="E348" s="1"/>
      <c r="F348" s="1"/>
      <c r="G348" s="1"/>
      <c r="I348" s="1"/>
      <c r="J348" s="1"/>
    </row>
    <row r="349">
      <c r="A349" s="1"/>
      <c r="B349" s="1"/>
      <c r="C349" s="75"/>
      <c r="D349" s="1"/>
      <c r="E349" s="1"/>
      <c r="F349" s="1"/>
      <c r="G349" s="1"/>
      <c r="I349" s="1"/>
      <c r="J349" s="1"/>
    </row>
    <row r="350">
      <c r="A350" s="1"/>
      <c r="B350" s="1"/>
      <c r="C350" s="75"/>
      <c r="D350" s="1"/>
      <c r="E350" s="1"/>
      <c r="F350" s="1"/>
      <c r="G350" s="1"/>
      <c r="I350" s="1"/>
      <c r="J350" s="1"/>
    </row>
    <row r="351">
      <c r="A351" s="1"/>
      <c r="B351" s="1"/>
      <c r="C351" s="75"/>
      <c r="D351" s="1"/>
      <c r="E351" s="1"/>
      <c r="F351" s="1"/>
      <c r="G351" s="1"/>
      <c r="I351" s="1"/>
      <c r="J351" s="1"/>
    </row>
    <row r="352">
      <c r="A352" s="1"/>
      <c r="B352" s="1"/>
      <c r="C352" s="75"/>
      <c r="D352" s="1"/>
      <c r="E352" s="1"/>
      <c r="F352" s="1"/>
      <c r="G352" s="1"/>
      <c r="I352" s="1"/>
      <c r="J352" s="1"/>
    </row>
    <row r="353">
      <c r="A353" s="1"/>
      <c r="B353" s="1"/>
      <c r="C353" s="75"/>
      <c r="D353" s="1"/>
      <c r="E353" s="1"/>
      <c r="F353" s="1"/>
      <c r="G353" s="1"/>
      <c r="I353" s="1"/>
      <c r="J353" s="1"/>
    </row>
    <row r="354">
      <c r="A354" s="1"/>
      <c r="B354" s="1"/>
      <c r="C354" s="75"/>
      <c r="D354" s="1"/>
      <c r="E354" s="1"/>
      <c r="F354" s="1"/>
      <c r="G354" s="1"/>
      <c r="I354" s="1"/>
      <c r="J354" s="1"/>
    </row>
    <row r="355">
      <c r="A355" s="1"/>
      <c r="B355" s="1"/>
      <c r="C355" s="75"/>
      <c r="D355" s="1"/>
      <c r="E355" s="1"/>
      <c r="F355" s="1"/>
      <c r="G355" s="1"/>
      <c r="I355" s="1"/>
      <c r="J355" s="1"/>
    </row>
    <row r="356">
      <c r="A356" s="1"/>
      <c r="B356" s="1"/>
      <c r="C356" s="75"/>
      <c r="D356" s="1"/>
      <c r="E356" s="1"/>
      <c r="F356" s="1"/>
      <c r="G356" s="1"/>
      <c r="I356" s="1"/>
      <c r="J356" s="1"/>
    </row>
    <row r="357">
      <c r="A357" s="1"/>
      <c r="B357" s="1"/>
      <c r="C357" s="75"/>
      <c r="D357" s="1"/>
      <c r="E357" s="1"/>
      <c r="F357" s="1"/>
      <c r="G357" s="1"/>
      <c r="I357" s="1"/>
      <c r="J357" s="1"/>
    </row>
    <row r="358">
      <c r="A358" s="1"/>
      <c r="B358" s="1"/>
      <c r="C358" s="75"/>
      <c r="D358" s="1"/>
      <c r="E358" s="1"/>
      <c r="F358" s="1"/>
      <c r="G358" s="1"/>
      <c r="I358" s="1"/>
      <c r="J358" s="1"/>
    </row>
    <row r="359">
      <c r="A359" s="1"/>
      <c r="B359" s="1"/>
      <c r="C359" s="75"/>
      <c r="D359" s="1"/>
      <c r="E359" s="1"/>
      <c r="F359" s="1"/>
      <c r="G359" s="1"/>
      <c r="I359" s="1"/>
      <c r="J359" s="1"/>
    </row>
    <row r="360">
      <c r="A360" s="1"/>
      <c r="B360" s="1"/>
      <c r="C360" s="75"/>
      <c r="D360" s="1"/>
      <c r="E360" s="1"/>
      <c r="F360" s="1"/>
      <c r="G360" s="1"/>
      <c r="I360" s="1"/>
      <c r="J360" s="1"/>
    </row>
    <row r="361">
      <c r="A361" s="1"/>
      <c r="B361" s="1"/>
      <c r="C361" s="75"/>
      <c r="D361" s="1"/>
      <c r="E361" s="1"/>
      <c r="F361" s="1"/>
      <c r="G361" s="1"/>
      <c r="I361" s="1"/>
      <c r="J361" s="1"/>
    </row>
    <row r="362">
      <c r="A362" s="1"/>
      <c r="B362" s="1"/>
      <c r="C362" s="75"/>
      <c r="D362" s="1"/>
      <c r="E362" s="1"/>
      <c r="F362" s="1"/>
      <c r="G362" s="1"/>
      <c r="I362" s="1"/>
      <c r="J362" s="1"/>
    </row>
    <row r="363">
      <c r="A363" s="1"/>
      <c r="B363" s="1"/>
      <c r="C363" s="75"/>
      <c r="D363" s="1"/>
      <c r="E363" s="1"/>
      <c r="F363" s="1"/>
      <c r="G363" s="1"/>
      <c r="I363" s="1"/>
      <c r="J363" s="1"/>
    </row>
    <row r="364">
      <c r="A364" s="1"/>
      <c r="B364" s="1"/>
      <c r="C364" s="75"/>
      <c r="D364" s="1"/>
      <c r="E364" s="1"/>
      <c r="F364" s="1"/>
      <c r="G364" s="1"/>
      <c r="I364" s="1"/>
      <c r="J364" s="1"/>
    </row>
    <row r="365">
      <c r="A365" s="1"/>
      <c r="B365" s="1"/>
      <c r="C365" s="75"/>
      <c r="D365" s="1"/>
      <c r="E365" s="1"/>
      <c r="F365" s="1"/>
      <c r="G365" s="1"/>
      <c r="I365" s="1"/>
      <c r="J365" s="1"/>
    </row>
    <row r="366">
      <c r="A366" s="1"/>
      <c r="B366" s="1"/>
      <c r="C366" s="75"/>
      <c r="D366" s="1"/>
      <c r="E366" s="1"/>
      <c r="F366" s="1"/>
      <c r="G366" s="1"/>
      <c r="I366" s="1"/>
      <c r="J366" s="1"/>
    </row>
    <row r="367">
      <c r="A367" s="1"/>
      <c r="B367" s="1"/>
      <c r="C367" s="75"/>
      <c r="D367" s="1"/>
      <c r="E367" s="1"/>
      <c r="F367" s="1"/>
      <c r="G367" s="1"/>
      <c r="I367" s="1"/>
      <c r="J367" s="1"/>
    </row>
    <row r="368">
      <c r="A368" s="1"/>
      <c r="B368" s="1"/>
      <c r="C368" s="75"/>
      <c r="D368" s="1"/>
      <c r="E368" s="1"/>
      <c r="F368" s="1"/>
      <c r="G368" s="1"/>
      <c r="I368" s="1"/>
      <c r="J368" s="1"/>
    </row>
    <row r="369">
      <c r="A369" s="1"/>
      <c r="B369" s="1"/>
      <c r="C369" s="75"/>
      <c r="D369" s="1"/>
      <c r="E369" s="1"/>
      <c r="F369" s="1"/>
      <c r="G369" s="1"/>
      <c r="I369" s="1"/>
      <c r="J369" s="1"/>
    </row>
    <row r="370">
      <c r="A370" s="1"/>
      <c r="B370" s="1"/>
      <c r="C370" s="75"/>
      <c r="D370" s="1"/>
      <c r="E370" s="1"/>
      <c r="F370" s="1"/>
      <c r="G370" s="1"/>
      <c r="I370" s="1"/>
      <c r="J370" s="1"/>
    </row>
    <row r="371">
      <c r="A371" s="1"/>
      <c r="B371" s="1"/>
      <c r="C371" s="75"/>
      <c r="D371" s="1"/>
      <c r="E371" s="1"/>
      <c r="F371" s="1"/>
      <c r="G371" s="1"/>
      <c r="I371" s="1"/>
      <c r="J371" s="1"/>
    </row>
    <row r="372">
      <c r="A372" s="1"/>
      <c r="B372" s="1"/>
      <c r="C372" s="75"/>
      <c r="D372" s="1"/>
      <c r="E372" s="1"/>
      <c r="F372" s="1"/>
      <c r="G372" s="1"/>
      <c r="I372" s="1"/>
      <c r="J372" s="1"/>
    </row>
    <row r="373">
      <c r="A373" s="1"/>
      <c r="B373" s="1"/>
      <c r="C373" s="75"/>
      <c r="D373" s="1"/>
      <c r="E373" s="1"/>
      <c r="F373" s="1"/>
      <c r="G373" s="1"/>
      <c r="I373" s="1"/>
      <c r="J373" s="1"/>
    </row>
    <row r="374">
      <c r="A374" s="1"/>
      <c r="B374" s="1"/>
      <c r="C374" s="75"/>
      <c r="D374" s="1"/>
      <c r="E374" s="1"/>
      <c r="F374" s="1"/>
      <c r="G374" s="1"/>
      <c r="I374" s="1"/>
      <c r="J374" s="1"/>
    </row>
    <row r="375">
      <c r="A375" s="1"/>
      <c r="B375" s="1"/>
      <c r="C375" s="75"/>
      <c r="D375" s="1"/>
      <c r="E375" s="1"/>
      <c r="F375" s="1"/>
      <c r="G375" s="1"/>
      <c r="I375" s="1"/>
      <c r="J375" s="1"/>
    </row>
    <row r="376">
      <c r="A376" s="1"/>
      <c r="B376" s="1"/>
      <c r="C376" s="75"/>
      <c r="D376" s="1"/>
      <c r="E376" s="1"/>
      <c r="F376" s="1"/>
      <c r="G376" s="1"/>
      <c r="I376" s="1"/>
      <c r="J376" s="1"/>
    </row>
    <row r="377">
      <c r="A377" s="1"/>
      <c r="B377" s="1"/>
      <c r="C377" s="75"/>
      <c r="D377" s="1"/>
      <c r="E377" s="1"/>
      <c r="F377" s="1"/>
      <c r="G377" s="1"/>
      <c r="I377" s="1"/>
      <c r="J377" s="1"/>
    </row>
    <row r="378">
      <c r="A378" s="1"/>
      <c r="B378" s="1"/>
      <c r="C378" s="75"/>
      <c r="D378" s="1"/>
      <c r="E378" s="1"/>
      <c r="F378" s="1"/>
      <c r="G378" s="1"/>
      <c r="I378" s="1"/>
      <c r="J378" s="1"/>
    </row>
    <row r="379">
      <c r="A379" s="1"/>
      <c r="B379" s="1"/>
      <c r="C379" s="75"/>
      <c r="D379" s="1"/>
      <c r="E379" s="1"/>
      <c r="F379" s="1"/>
      <c r="G379" s="1"/>
      <c r="I379" s="1"/>
      <c r="J379" s="1"/>
    </row>
    <row r="380">
      <c r="A380" s="1"/>
      <c r="B380" s="1"/>
      <c r="C380" s="75"/>
      <c r="D380" s="1"/>
      <c r="E380" s="1"/>
      <c r="F380" s="1"/>
      <c r="G380" s="1"/>
      <c r="I380" s="1"/>
      <c r="J380" s="1"/>
    </row>
    <row r="381">
      <c r="A381" s="1"/>
      <c r="B381" s="1"/>
      <c r="C381" s="75"/>
      <c r="D381" s="1"/>
      <c r="E381" s="1"/>
      <c r="F381" s="1"/>
      <c r="G381" s="1"/>
      <c r="I381" s="1"/>
      <c r="J381" s="1"/>
    </row>
    <row r="382">
      <c r="A382" s="1"/>
      <c r="B382" s="1"/>
      <c r="C382" s="75"/>
      <c r="D382" s="1"/>
      <c r="E382" s="1"/>
      <c r="F382" s="1"/>
      <c r="G382" s="1"/>
      <c r="I382" s="1"/>
      <c r="J382" s="1"/>
    </row>
    <row r="383">
      <c r="A383" s="1"/>
      <c r="B383" s="1"/>
      <c r="C383" s="75"/>
      <c r="D383" s="1"/>
      <c r="E383" s="1"/>
      <c r="F383" s="1"/>
      <c r="G383" s="1"/>
      <c r="I383" s="1"/>
      <c r="J383" s="1"/>
    </row>
    <row r="384">
      <c r="A384" s="1"/>
      <c r="B384" s="1"/>
      <c r="C384" s="75"/>
      <c r="D384" s="1"/>
      <c r="E384" s="1"/>
      <c r="F384" s="1"/>
      <c r="G384" s="1"/>
      <c r="I384" s="1"/>
      <c r="J384" s="1"/>
    </row>
    <row r="385">
      <c r="A385" s="1"/>
      <c r="B385" s="1"/>
      <c r="C385" s="75"/>
      <c r="D385" s="1"/>
      <c r="E385" s="1"/>
      <c r="F385" s="1"/>
      <c r="G385" s="1"/>
      <c r="I385" s="1"/>
      <c r="J385" s="1"/>
    </row>
    <row r="386">
      <c r="A386" s="1"/>
      <c r="B386" s="1"/>
      <c r="C386" s="75"/>
      <c r="D386" s="1"/>
      <c r="E386" s="1"/>
      <c r="F386" s="1"/>
      <c r="G386" s="1"/>
      <c r="I386" s="1"/>
      <c r="J386" s="1"/>
    </row>
    <row r="387">
      <c r="A387" s="1"/>
      <c r="B387" s="1"/>
      <c r="C387" s="75"/>
      <c r="D387" s="1"/>
      <c r="E387" s="1"/>
      <c r="F387" s="1"/>
      <c r="G387" s="1"/>
      <c r="I387" s="1"/>
      <c r="J387" s="1"/>
    </row>
    <row r="388">
      <c r="A388" s="1"/>
      <c r="B388" s="1"/>
      <c r="C388" s="75"/>
      <c r="D388" s="1"/>
      <c r="E388" s="1"/>
      <c r="F388" s="1"/>
      <c r="G388" s="1"/>
      <c r="I388" s="1"/>
      <c r="J388" s="1"/>
    </row>
    <row r="389">
      <c r="A389" s="1"/>
      <c r="B389" s="1"/>
      <c r="C389" s="75"/>
      <c r="D389" s="1"/>
      <c r="E389" s="1"/>
      <c r="F389" s="1"/>
      <c r="G389" s="1"/>
      <c r="I389" s="1"/>
      <c r="J389" s="1"/>
    </row>
    <row r="390">
      <c r="A390" s="1"/>
      <c r="B390" s="1"/>
      <c r="C390" s="75"/>
      <c r="D390" s="1"/>
      <c r="E390" s="1"/>
      <c r="F390" s="1"/>
      <c r="G390" s="1"/>
      <c r="I390" s="1"/>
      <c r="J390" s="1"/>
    </row>
    <row r="391">
      <c r="A391" s="1"/>
      <c r="B391" s="1"/>
      <c r="C391" s="75"/>
      <c r="D391" s="1"/>
      <c r="E391" s="1"/>
      <c r="F391" s="1"/>
      <c r="G391" s="1"/>
      <c r="I391" s="1"/>
      <c r="J391" s="1"/>
    </row>
    <row r="392">
      <c r="A392" s="1"/>
      <c r="B392" s="1"/>
      <c r="C392" s="75"/>
      <c r="D392" s="1"/>
      <c r="E392" s="1"/>
      <c r="F392" s="1"/>
      <c r="G392" s="1"/>
      <c r="I392" s="1"/>
      <c r="J392" s="1"/>
    </row>
    <row r="393">
      <c r="A393" s="1"/>
      <c r="B393" s="1"/>
      <c r="C393" s="75"/>
      <c r="D393" s="1"/>
      <c r="E393" s="1"/>
      <c r="F393" s="1"/>
      <c r="G393" s="1"/>
      <c r="I393" s="1"/>
      <c r="J393" s="1"/>
    </row>
    <row r="394">
      <c r="A394" s="1"/>
      <c r="B394" s="1"/>
      <c r="C394" s="75"/>
      <c r="D394" s="1"/>
      <c r="E394" s="1"/>
      <c r="F394" s="1"/>
      <c r="G394" s="1"/>
      <c r="I394" s="1"/>
      <c r="J394" s="1"/>
    </row>
    <row r="395">
      <c r="A395" s="1"/>
      <c r="B395" s="1"/>
      <c r="C395" s="75"/>
      <c r="D395" s="1"/>
      <c r="E395" s="1"/>
      <c r="F395" s="1"/>
      <c r="G395" s="1"/>
      <c r="I395" s="1"/>
      <c r="J395" s="1"/>
    </row>
    <row r="396">
      <c r="A396" s="1"/>
      <c r="B396" s="1"/>
      <c r="C396" s="75"/>
      <c r="D396" s="1"/>
      <c r="E396" s="1"/>
      <c r="F396" s="1"/>
      <c r="G396" s="1"/>
      <c r="I396" s="1"/>
      <c r="J396" s="1"/>
    </row>
    <row r="397">
      <c r="A397" s="1"/>
      <c r="B397" s="1"/>
      <c r="C397" s="75"/>
      <c r="D397" s="1"/>
      <c r="E397" s="1"/>
      <c r="F397" s="1"/>
      <c r="G397" s="1"/>
      <c r="I397" s="1"/>
      <c r="J397" s="1"/>
    </row>
    <row r="398">
      <c r="A398" s="1"/>
      <c r="B398" s="1"/>
      <c r="C398" s="75"/>
      <c r="D398" s="1"/>
      <c r="E398" s="1"/>
      <c r="F398" s="1"/>
      <c r="G398" s="1"/>
      <c r="I398" s="1"/>
      <c r="J398" s="1"/>
    </row>
    <row r="399">
      <c r="A399" s="1"/>
      <c r="B399" s="1"/>
      <c r="C399" s="75"/>
      <c r="D399" s="1"/>
      <c r="E399" s="1"/>
      <c r="F399" s="1"/>
      <c r="G399" s="1"/>
      <c r="I399" s="1"/>
      <c r="J399" s="1"/>
    </row>
    <row r="400">
      <c r="A400" s="1"/>
      <c r="B400" s="1"/>
      <c r="C400" s="75"/>
      <c r="D400" s="1"/>
      <c r="E400" s="1"/>
      <c r="F400" s="1"/>
      <c r="G400" s="1"/>
      <c r="I400" s="1"/>
      <c r="J400" s="1"/>
    </row>
    <row r="401">
      <c r="A401" s="1"/>
      <c r="B401" s="1"/>
      <c r="C401" s="75"/>
      <c r="D401" s="1"/>
      <c r="E401" s="1"/>
      <c r="F401" s="1"/>
      <c r="G401" s="1"/>
      <c r="I401" s="1"/>
      <c r="J401" s="1"/>
    </row>
    <row r="402">
      <c r="A402" s="1"/>
      <c r="B402" s="1"/>
      <c r="C402" s="75"/>
      <c r="D402" s="1"/>
      <c r="E402" s="1"/>
      <c r="F402" s="1"/>
      <c r="G402" s="1"/>
      <c r="I402" s="1"/>
      <c r="J402" s="1"/>
    </row>
    <row r="403">
      <c r="A403" s="1"/>
      <c r="B403" s="1"/>
      <c r="C403" s="75"/>
      <c r="D403" s="1"/>
      <c r="E403" s="1"/>
      <c r="F403" s="1"/>
      <c r="G403" s="1"/>
      <c r="I403" s="1"/>
      <c r="J403" s="1"/>
    </row>
    <row r="404">
      <c r="A404" s="1"/>
      <c r="B404" s="1"/>
      <c r="C404" s="75"/>
      <c r="D404" s="1"/>
      <c r="E404" s="1"/>
      <c r="F404" s="1"/>
      <c r="G404" s="1"/>
      <c r="I404" s="1"/>
      <c r="J404" s="1"/>
    </row>
    <row r="405">
      <c r="A405" s="1"/>
      <c r="B405" s="1"/>
      <c r="C405" s="75"/>
      <c r="D405" s="1"/>
      <c r="E405" s="1"/>
      <c r="F405" s="1"/>
      <c r="G405" s="1"/>
      <c r="I405" s="1"/>
      <c r="J405" s="1"/>
    </row>
    <row r="406">
      <c r="A406" s="1"/>
      <c r="B406" s="1"/>
      <c r="C406" s="75"/>
      <c r="D406" s="1"/>
      <c r="E406" s="1"/>
      <c r="F406" s="1"/>
      <c r="G406" s="1"/>
      <c r="I406" s="1"/>
      <c r="J406" s="1"/>
    </row>
    <row r="407">
      <c r="A407" s="1"/>
      <c r="B407" s="1"/>
      <c r="C407" s="75"/>
      <c r="D407" s="1"/>
      <c r="E407" s="1"/>
      <c r="F407" s="1"/>
      <c r="G407" s="1"/>
      <c r="I407" s="1"/>
      <c r="J407" s="1"/>
    </row>
    <row r="408">
      <c r="A408" s="1"/>
      <c r="B408" s="1"/>
      <c r="C408" s="75"/>
      <c r="D408" s="1"/>
      <c r="E408" s="1"/>
      <c r="F408" s="1"/>
      <c r="G408" s="1"/>
      <c r="I408" s="1"/>
      <c r="J408" s="1"/>
    </row>
    <row r="409">
      <c r="A409" s="1"/>
      <c r="B409" s="1"/>
      <c r="C409" s="75"/>
      <c r="D409" s="1"/>
      <c r="E409" s="1"/>
      <c r="F409" s="1"/>
      <c r="G409" s="1"/>
      <c r="I409" s="1"/>
      <c r="J409" s="1"/>
    </row>
    <row r="410">
      <c r="A410" s="1"/>
      <c r="B410" s="1"/>
      <c r="C410" s="75"/>
      <c r="D410" s="1"/>
      <c r="E410" s="1"/>
      <c r="F410" s="1"/>
      <c r="G410" s="1"/>
      <c r="I410" s="1"/>
      <c r="J410" s="1"/>
    </row>
    <row r="411">
      <c r="A411" s="1"/>
      <c r="B411" s="1"/>
      <c r="C411" s="75"/>
      <c r="D411" s="1"/>
      <c r="E411" s="1"/>
      <c r="F411" s="1"/>
      <c r="G411" s="1"/>
      <c r="I411" s="1"/>
      <c r="J411" s="1"/>
    </row>
    <row r="412">
      <c r="A412" s="1"/>
      <c r="B412" s="1"/>
      <c r="C412" s="75"/>
      <c r="D412" s="1"/>
      <c r="E412" s="1"/>
      <c r="F412" s="1"/>
      <c r="G412" s="1"/>
      <c r="I412" s="1"/>
      <c r="J412" s="1"/>
    </row>
    <row r="413">
      <c r="A413" s="1"/>
      <c r="B413" s="1"/>
      <c r="C413" s="75"/>
      <c r="D413" s="1"/>
      <c r="E413" s="1"/>
      <c r="F413" s="1"/>
      <c r="G413" s="1"/>
      <c r="I413" s="1"/>
      <c r="J413" s="1"/>
    </row>
    <row r="414">
      <c r="A414" s="1"/>
      <c r="B414" s="1"/>
      <c r="C414" s="75"/>
      <c r="D414" s="1"/>
      <c r="E414" s="1"/>
      <c r="F414" s="1"/>
      <c r="G414" s="1"/>
      <c r="I414" s="1"/>
      <c r="J414" s="1"/>
    </row>
    <row r="415">
      <c r="A415" s="1"/>
      <c r="B415" s="1"/>
      <c r="C415" s="75"/>
      <c r="D415" s="1"/>
      <c r="E415" s="1"/>
      <c r="F415" s="1"/>
      <c r="G415" s="1"/>
      <c r="I415" s="1"/>
      <c r="J415" s="1"/>
    </row>
    <row r="416">
      <c r="A416" s="1"/>
      <c r="B416" s="1"/>
      <c r="C416" s="75"/>
      <c r="D416" s="1"/>
      <c r="E416" s="1"/>
      <c r="F416" s="1"/>
      <c r="G416" s="1"/>
      <c r="I416" s="1"/>
      <c r="J416" s="1"/>
    </row>
    <row r="417">
      <c r="A417" s="1"/>
      <c r="B417" s="1"/>
      <c r="C417" s="75"/>
      <c r="D417" s="1"/>
      <c r="E417" s="1"/>
      <c r="F417" s="1"/>
      <c r="G417" s="1"/>
      <c r="I417" s="1"/>
      <c r="J417" s="1"/>
    </row>
    <row r="418">
      <c r="A418" s="1"/>
      <c r="B418" s="1"/>
      <c r="C418" s="75"/>
      <c r="D418" s="1"/>
      <c r="E418" s="1"/>
      <c r="F418" s="1"/>
      <c r="G418" s="1"/>
      <c r="I418" s="1"/>
      <c r="J418" s="1"/>
    </row>
    <row r="419">
      <c r="A419" s="1"/>
      <c r="B419" s="1"/>
      <c r="C419" s="75"/>
      <c r="D419" s="1"/>
      <c r="E419" s="1"/>
      <c r="F419" s="1"/>
      <c r="G419" s="1"/>
      <c r="I419" s="1"/>
      <c r="J419" s="1"/>
    </row>
    <row r="420">
      <c r="A420" s="1"/>
      <c r="B420" s="1"/>
      <c r="C420" s="75"/>
      <c r="D420" s="1"/>
      <c r="E420" s="1"/>
      <c r="F420" s="1"/>
      <c r="G420" s="1"/>
      <c r="I420" s="1"/>
      <c r="J420" s="1"/>
    </row>
    <row r="421">
      <c r="A421" s="1"/>
      <c r="B421" s="1"/>
      <c r="C421" s="75"/>
      <c r="D421" s="1"/>
      <c r="E421" s="1"/>
      <c r="F421" s="1"/>
      <c r="G421" s="1"/>
      <c r="I421" s="1"/>
      <c r="J421" s="1"/>
    </row>
    <row r="422">
      <c r="A422" s="1"/>
      <c r="B422" s="1"/>
      <c r="C422" s="75"/>
      <c r="D422" s="1"/>
      <c r="E422" s="1"/>
      <c r="F422" s="1"/>
      <c r="G422" s="1"/>
      <c r="I422" s="1"/>
      <c r="J422" s="1"/>
    </row>
    <row r="423">
      <c r="A423" s="1"/>
      <c r="B423" s="1"/>
      <c r="C423" s="75"/>
      <c r="D423" s="1"/>
      <c r="E423" s="1"/>
      <c r="F423" s="1"/>
      <c r="G423" s="1"/>
      <c r="I423" s="1"/>
      <c r="J423" s="1"/>
    </row>
    <row r="424">
      <c r="A424" s="1"/>
      <c r="B424" s="1"/>
      <c r="C424" s="75"/>
      <c r="D424" s="1"/>
      <c r="E424" s="1"/>
      <c r="F424" s="1"/>
      <c r="G424" s="1"/>
      <c r="I424" s="1"/>
      <c r="J424" s="1"/>
    </row>
    <row r="425">
      <c r="A425" s="1"/>
      <c r="B425" s="1"/>
      <c r="C425" s="75"/>
      <c r="D425" s="1"/>
      <c r="E425" s="1"/>
      <c r="F425" s="1"/>
      <c r="G425" s="1"/>
      <c r="I425" s="1"/>
      <c r="J425" s="1"/>
    </row>
    <row r="426">
      <c r="A426" s="1"/>
      <c r="B426" s="1"/>
      <c r="C426" s="75"/>
      <c r="D426" s="1"/>
      <c r="E426" s="1"/>
      <c r="F426" s="1"/>
      <c r="G426" s="1"/>
      <c r="I426" s="1"/>
      <c r="J426" s="1"/>
    </row>
    <row r="427">
      <c r="A427" s="1"/>
      <c r="B427" s="1"/>
      <c r="C427" s="75"/>
      <c r="D427" s="1"/>
      <c r="E427" s="1"/>
      <c r="F427" s="1"/>
      <c r="G427" s="1"/>
      <c r="I427" s="1"/>
      <c r="J427" s="1"/>
    </row>
    <row r="428">
      <c r="A428" s="1"/>
      <c r="B428" s="1"/>
      <c r="C428" s="75"/>
      <c r="D428" s="1"/>
      <c r="E428" s="1"/>
      <c r="F428" s="1"/>
      <c r="G428" s="1"/>
      <c r="I428" s="1"/>
      <c r="J428" s="1"/>
    </row>
    <row r="429">
      <c r="A429" s="1"/>
      <c r="B429" s="1"/>
      <c r="C429" s="75"/>
      <c r="D429" s="1"/>
      <c r="E429" s="1"/>
      <c r="F429" s="1"/>
      <c r="G429" s="1"/>
      <c r="I429" s="1"/>
      <c r="J429" s="1"/>
    </row>
    <row r="430">
      <c r="A430" s="1"/>
      <c r="B430" s="1"/>
      <c r="C430" s="75"/>
      <c r="D430" s="1"/>
      <c r="E430" s="1"/>
      <c r="F430" s="1"/>
      <c r="G430" s="1"/>
      <c r="I430" s="1"/>
      <c r="J430" s="1"/>
    </row>
    <row r="431">
      <c r="A431" s="1"/>
      <c r="B431" s="1"/>
      <c r="C431" s="75"/>
      <c r="D431" s="1"/>
      <c r="E431" s="1"/>
      <c r="F431" s="1"/>
      <c r="G431" s="1"/>
      <c r="I431" s="1"/>
      <c r="J431" s="1"/>
    </row>
    <row r="432">
      <c r="A432" s="1"/>
      <c r="B432" s="1"/>
      <c r="C432" s="75"/>
      <c r="D432" s="1"/>
      <c r="E432" s="1"/>
      <c r="F432" s="1"/>
      <c r="G432" s="1"/>
      <c r="I432" s="1"/>
      <c r="J432" s="1"/>
    </row>
    <row r="433">
      <c r="A433" s="1"/>
      <c r="B433" s="1"/>
      <c r="C433" s="75"/>
      <c r="D433" s="1"/>
      <c r="E433" s="1"/>
      <c r="F433" s="1"/>
      <c r="G433" s="1"/>
      <c r="I433" s="1"/>
      <c r="J433" s="1"/>
    </row>
    <row r="434">
      <c r="A434" s="1"/>
      <c r="B434" s="1"/>
      <c r="C434" s="75"/>
      <c r="D434" s="1"/>
      <c r="E434" s="1"/>
      <c r="F434" s="1"/>
      <c r="G434" s="1"/>
      <c r="I434" s="1"/>
      <c r="J434" s="1"/>
    </row>
    <row r="435">
      <c r="A435" s="1"/>
      <c r="B435" s="1"/>
      <c r="C435" s="75"/>
      <c r="D435" s="1"/>
      <c r="E435" s="1"/>
      <c r="F435" s="1"/>
      <c r="G435" s="1"/>
      <c r="I435" s="1"/>
      <c r="J435" s="1"/>
    </row>
    <row r="436">
      <c r="A436" s="1"/>
      <c r="B436" s="1"/>
      <c r="C436" s="75"/>
      <c r="D436" s="1"/>
      <c r="E436" s="1"/>
      <c r="F436" s="1"/>
      <c r="G436" s="1"/>
      <c r="I436" s="1"/>
      <c r="J436" s="1"/>
    </row>
    <row r="437">
      <c r="A437" s="1"/>
      <c r="B437" s="1"/>
      <c r="C437" s="75"/>
      <c r="D437" s="1"/>
      <c r="E437" s="1"/>
      <c r="F437" s="1"/>
      <c r="G437" s="1"/>
      <c r="I437" s="1"/>
      <c r="J437" s="1"/>
    </row>
    <row r="438">
      <c r="A438" s="1"/>
      <c r="B438" s="1"/>
      <c r="C438" s="75"/>
      <c r="D438" s="1"/>
      <c r="E438" s="1"/>
      <c r="F438" s="1"/>
      <c r="G438" s="1"/>
      <c r="I438" s="1"/>
      <c r="J438" s="1"/>
    </row>
    <row r="439">
      <c r="A439" s="1"/>
      <c r="B439" s="1"/>
      <c r="C439" s="75"/>
      <c r="D439" s="1"/>
      <c r="E439" s="1"/>
      <c r="F439" s="1"/>
      <c r="G439" s="1"/>
      <c r="I439" s="1"/>
      <c r="J439" s="1"/>
    </row>
    <row r="440">
      <c r="A440" s="1"/>
      <c r="B440" s="1"/>
      <c r="C440" s="75"/>
      <c r="D440" s="1"/>
      <c r="E440" s="1"/>
      <c r="F440" s="1"/>
      <c r="G440" s="1"/>
      <c r="I440" s="1"/>
      <c r="J440" s="1"/>
    </row>
    <row r="441">
      <c r="A441" s="1"/>
      <c r="B441" s="1"/>
      <c r="C441" s="75"/>
      <c r="D441" s="1"/>
      <c r="E441" s="1"/>
      <c r="F441" s="1"/>
      <c r="G441" s="1"/>
      <c r="I441" s="1"/>
      <c r="J441" s="1"/>
    </row>
    <row r="442">
      <c r="A442" s="1"/>
      <c r="B442" s="1"/>
      <c r="C442" s="75"/>
      <c r="D442" s="1"/>
      <c r="E442" s="1"/>
      <c r="F442" s="1"/>
      <c r="G442" s="1"/>
      <c r="I442" s="1"/>
      <c r="J442" s="1"/>
    </row>
    <row r="443">
      <c r="A443" s="1"/>
      <c r="B443" s="1"/>
      <c r="C443" s="75"/>
      <c r="D443" s="1"/>
      <c r="E443" s="1"/>
      <c r="F443" s="1"/>
      <c r="G443" s="1"/>
      <c r="I443" s="1"/>
      <c r="J443" s="1"/>
    </row>
    <row r="444">
      <c r="A444" s="1"/>
      <c r="B444" s="1"/>
      <c r="C444" s="75"/>
      <c r="D444" s="1"/>
      <c r="E444" s="1"/>
      <c r="F444" s="1"/>
      <c r="G444" s="1"/>
      <c r="I444" s="1"/>
      <c r="J444" s="1"/>
    </row>
    <row r="445">
      <c r="A445" s="1"/>
      <c r="B445" s="1"/>
      <c r="C445" s="75"/>
      <c r="D445" s="1"/>
      <c r="E445" s="1"/>
      <c r="F445" s="1"/>
      <c r="G445" s="1"/>
      <c r="I445" s="1"/>
      <c r="J445" s="1"/>
    </row>
    <row r="446">
      <c r="A446" s="1"/>
      <c r="B446" s="1"/>
      <c r="C446" s="75"/>
      <c r="D446" s="1"/>
      <c r="E446" s="1"/>
      <c r="F446" s="1"/>
      <c r="G446" s="1"/>
      <c r="I446" s="1"/>
      <c r="J446" s="1"/>
    </row>
    <row r="447">
      <c r="A447" s="1"/>
      <c r="B447" s="1"/>
      <c r="C447" s="75"/>
      <c r="D447" s="1"/>
      <c r="E447" s="1"/>
      <c r="F447" s="1"/>
      <c r="G447" s="1"/>
      <c r="I447" s="1"/>
      <c r="J447" s="1"/>
    </row>
    <row r="448">
      <c r="A448" s="1"/>
      <c r="B448" s="1"/>
      <c r="C448" s="75"/>
      <c r="D448" s="1"/>
      <c r="E448" s="1"/>
      <c r="F448" s="1"/>
      <c r="G448" s="1"/>
      <c r="I448" s="1"/>
      <c r="J448" s="1"/>
    </row>
    <row r="449">
      <c r="A449" s="1"/>
      <c r="B449" s="1"/>
      <c r="C449" s="75"/>
      <c r="D449" s="1"/>
      <c r="E449" s="1"/>
      <c r="F449" s="1"/>
      <c r="G449" s="1"/>
      <c r="I449" s="1"/>
      <c r="J449" s="1"/>
    </row>
    <row r="450">
      <c r="A450" s="1"/>
      <c r="B450" s="1"/>
      <c r="C450" s="75"/>
      <c r="D450" s="1"/>
      <c r="E450" s="1"/>
      <c r="F450" s="1"/>
      <c r="G450" s="1"/>
      <c r="I450" s="1"/>
      <c r="J450" s="1"/>
    </row>
    <row r="451">
      <c r="A451" s="1"/>
      <c r="B451" s="1"/>
      <c r="C451" s="75"/>
      <c r="D451" s="1"/>
      <c r="E451" s="1"/>
      <c r="F451" s="1"/>
      <c r="G451" s="1"/>
      <c r="I451" s="1"/>
      <c r="J451" s="1"/>
    </row>
    <row r="452">
      <c r="A452" s="1"/>
      <c r="B452" s="1"/>
      <c r="C452" s="75"/>
      <c r="D452" s="1"/>
      <c r="E452" s="1"/>
      <c r="F452" s="1"/>
      <c r="G452" s="1"/>
      <c r="I452" s="1"/>
      <c r="J452" s="1"/>
    </row>
    <row r="453">
      <c r="A453" s="1"/>
      <c r="B453" s="1"/>
      <c r="C453" s="75"/>
      <c r="D453" s="1"/>
      <c r="E453" s="1"/>
      <c r="F453" s="1"/>
      <c r="G453" s="1"/>
      <c r="I453" s="1"/>
      <c r="J453" s="1"/>
    </row>
    <row r="454">
      <c r="A454" s="1"/>
      <c r="B454" s="1"/>
      <c r="C454" s="75"/>
      <c r="D454" s="1"/>
      <c r="E454" s="1"/>
      <c r="F454" s="1"/>
      <c r="G454" s="1"/>
      <c r="I454" s="1"/>
      <c r="J454" s="1"/>
    </row>
    <row r="455">
      <c r="A455" s="1"/>
      <c r="B455" s="1"/>
      <c r="C455" s="75"/>
      <c r="D455" s="1"/>
      <c r="E455" s="1"/>
      <c r="F455" s="1"/>
      <c r="G455" s="1"/>
      <c r="I455" s="1"/>
      <c r="J455" s="1"/>
    </row>
    <row r="456">
      <c r="A456" s="1"/>
      <c r="B456" s="1"/>
      <c r="C456" s="75"/>
      <c r="D456" s="1"/>
      <c r="E456" s="1"/>
      <c r="F456" s="1"/>
      <c r="G456" s="1"/>
      <c r="I456" s="1"/>
      <c r="J456" s="1"/>
    </row>
    <row r="457">
      <c r="A457" s="1"/>
      <c r="B457" s="1"/>
      <c r="C457" s="75"/>
      <c r="D457" s="1"/>
      <c r="E457" s="1"/>
      <c r="F457" s="1"/>
      <c r="G457" s="1"/>
      <c r="I457" s="1"/>
      <c r="J457" s="1"/>
    </row>
    <row r="458">
      <c r="A458" s="1"/>
      <c r="B458" s="1"/>
      <c r="C458" s="75"/>
      <c r="D458" s="1"/>
      <c r="E458" s="1"/>
      <c r="F458" s="1"/>
      <c r="G458" s="1"/>
      <c r="I458" s="1"/>
      <c r="J458" s="1"/>
    </row>
    <row r="459">
      <c r="A459" s="1"/>
      <c r="B459" s="1"/>
      <c r="C459" s="75"/>
      <c r="D459" s="1"/>
      <c r="E459" s="1"/>
      <c r="F459" s="1"/>
      <c r="G459" s="1"/>
      <c r="I459" s="1"/>
      <c r="J459" s="1"/>
    </row>
    <row r="460">
      <c r="A460" s="1"/>
      <c r="B460" s="1"/>
      <c r="C460" s="75"/>
      <c r="D460" s="1"/>
      <c r="E460" s="1"/>
      <c r="F460" s="1"/>
      <c r="G460" s="1"/>
      <c r="I460" s="1"/>
      <c r="J460" s="1"/>
    </row>
    <row r="461">
      <c r="A461" s="1"/>
      <c r="B461" s="1"/>
      <c r="C461" s="75"/>
      <c r="D461" s="1"/>
      <c r="E461" s="1"/>
      <c r="F461" s="1"/>
      <c r="G461" s="1"/>
      <c r="I461" s="1"/>
      <c r="J461" s="1"/>
    </row>
    <row r="462">
      <c r="A462" s="1"/>
      <c r="B462" s="1"/>
      <c r="C462" s="75"/>
      <c r="D462" s="1"/>
      <c r="E462" s="1"/>
      <c r="F462" s="1"/>
      <c r="G462" s="1"/>
      <c r="I462" s="1"/>
      <c r="J462" s="1"/>
    </row>
    <row r="463">
      <c r="A463" s="1"/>
      <c r="B463" s="1"/>
      <c r="C463" s="75"/>
      <c r="D463" s="1"/>
      <c r="E463" s="1"/>
      <c r="F463" s="1"/>
      <c r="G463" s="1"/>
      <c r="I463" s="1"/>
      <c r="J463" s="1"/>
    </row>
    <row r="464">
      <c r="A464" s="1"/>
      <c r="B464" s="1"/>
      <c r="C464" s="75"/>
      <c r="D464" s="1"/>
      <c r="E464" s="1"/>
      <c r="F464" s="1"/>
      <c r="G464" s="1"/>
      <c r="I464" s="1"/>
      <c r="J464" s="1"/>
    </row>
    <row r="465">
      <c r="A465" s="1"/>
      <c r="B465" s="1"/>
      <c r="C465" s="75"/>
      <c r="D465" s="1"/>
      <c r="E465" s="1"/>
      <c r="F465" s="1"/>
      <c r="G465" s="1"/>
      <c r="I465" s="1"/>
      <c r="J465" s="1"/>
    </row>
    <row r="466">
      <c r="A466" s="1"/>
      <c r="B466" s="1"/>
      <c r="C466" s="75"/>
      <c r="D466" s="1"/>
      <c r="E466" s="1"/>
      <c r="F466" s="1"/>
      <c r="G466" s="1"/>
      <c r="I466" s="1"/>
      <c r="J466" s="1"/>
    </row>
    <row r="467">
      <c r="A467" s="1"/>
      <c r="B467" s="1"/>
      <c r="C467" s="75"/>
      <c r="D467" s="1"/>
      <c r="E467" s="1"/>
      <c r="F467" s="1"/>
      <c r="G467" s="1"/>
      <c r="I467" s="1"/>
      <c r="J467" s="1"/>
    </row>
    <row r="468">
      <c r="A468" s="1"/>
      <c r="B468" s="1"/>
      <c r="C468" s="75"/>
      <c r="D468" s="1"/>
      <c r="E468" s="1"/>
      <c r="F468" s="1"/>
      <c r="G468" s="1"/>
      <c r="I468" s="1"/>
      <c r="J468" s="1"/>
    </row>
    <row r="469">
      <c r="A469" s="1"/>
      <c r="B469" s="1"/>
      <c r="C469" s="75"/>
      <c r="D469" s="1"/>
      <c r="E469" s="1"/>
      <c r="F469" s="1"/>
      <c r="G469" s="1"/>
      <c r="I469" s="1"/>
      <c r="J469" s="1"/>
    </row>
    <row r="470">
      <c r="A470" s="1"/>
      <c r="B470" s="1"/>
      <c r="C470" s="75"/>
      <c r="D470" s="1"/>
      <c r="E470" s="1"/>
      <c r="F470" s="1"/>
      <c r="G470" s="1"/>
      <c r="I470" s="1"/>
      <c r="J470" s="1"/>
    </row>
    <row r="471">
      <c r="A471" s="1"/>
      <c r="B471" s="1"/>
      <c r="C471" s="75"/>
      <c r="D471" s="1"/>
      <c r="E471" s="1"/>
      <c r="F471" s="1"/>
      <c r="G471" s="1"/>
      <c r="I471" s="1"/>
      <c r="J471" s="1"/>
    </row>
    <row r="472">
      <c r="A472" s="1"/>
      <c r="B472" s="1"/>
      <c r="C472" s="75"/>
      <c r="D472" s="1"/>
      <c r="E472" s="1"/>
      <c r="F472" s="1"/>
      <c r="G472" s="1"/>
      <c r="I472" s="1"/>
      <c r="J472" s="1"/>
    </row>
    <row r="473">
      <c r="A473" s="1"/>
      <c r="B473" s="1"/>
      <c r="C473" s="75"/>
      <c r="D473" s="1"/>
      <c r="E473" s="1"/>
      <c r="F473" s="1"/>
      <c r="G473" s="1"/>
      <c r="I473" s="1"/>
      <c r="J473" s="1"/>
    </row>
    <row r="474">
      <c r="A474" s="1"/>
      <c r="B474" s="1"/>
      <c r="C474" s="75"/>
      <c r="D474" s="1"/>
      <c r="E474" s="1"/>
      <c r="F474" s="1"/>
      <c r="G474" s="1"/>
      <c r="I474" s="1"/>
      <c r="J474" s="1"/>
    </row>
    <row r="475">
      <c r="A475" s="1"/>
      <c r="B475" s="1"/>
      <c r="C475" s="75"/>
      <c r="D475" s="1"/>
      <c r="E475" s="1"/>
      <c r="F475" s="1"/>
      <c r="G475" s="1"/>
      <c r="I475" s="1"/>
      <c r="J475" s="1"/>
    </row>
    <row r="476">
      <c r="A476" s="1"/>
      <c r="B476" s="1"/>
      <c r="C476" s="75"/>
      <c r="D476" s="1"/>
      <c r="E476" s="1"/>
      <c r="F476" s="1"/>
      <c r="G476" s="1"/>
      <c r="I476" s="1"/>
      <c r="J476" s="1"/>
    </row>
    <row r="477">
      <c r="A477" s="1"/>
      <c r="B477" s="1"/>
      <c r="C477" s="75"/>
      <c r="D477" s="1"/>
      <c r="E477" s="1"/>
      <c r="F477" s="1"/>
      <c r="G477" s="1"/>
      <c r="I477" s="1"/>
      <c r="J477" s="1"/>
    </row>
    <row r="478">
      <c r="A478" s="1"/>
      <c r="B478" s="1"/>
      <c r="C478" s="75"/>
      <c r="D478" s="1"/>
      <c r="E478" s="1"/>
      <c r="F478" s="1"/>
      <c r="G478" s="1"/>
      <c r="I478" s="1"/>
      <c r="J478" s="1"/>
    </row>
    <row r="479">
      <c r="A479" s="1"/>
      <c r="B479" s="1"/>
      <c r="C479" s="75"/>
      <c r="D479" s="1"/>
      <c r="E479" s="1"/>
      <c r="F479" s="1"/>
      <c r="G479" s="1"/>
      <c r="I479" s="1"/>
      <c r="J479" s="1"/>
    </row>
    <row r="480">
      <c r="A480" s="1"/>
      <c r="B480" s="1"/>
      <c r="C480" s="75"/>
      <c r="D480" s="1"/>
      <c r="E480" s="1"/>
      <c r="F480" s="1"/>
      <c r="G480" s="1"/>
      <c r="I480" s="1"/>
      <c r="J480" s="1"/>
    </row>
    <row r="481">
      <c r="A481" s="1"/>
      <c r="B481" s="1"/>
      <c r="C481" s="75"/>
      <c r="D481" s="1"/>
      <c r="E481" s="1"/>
      <c r="F481" s="1"/>
      <c r="G481" s="1"/>
      <c r="I481" s="1"/>
      <c r="J481" s="1"/>
    </row>
    <row r="482">
      <c r="A482" s="1"/>
      <c r="B482" s="1"/>
      <c r="C482" s="75"/>
      <c r="D482" s="1"/>
      <c r="E482" s="1"/>
      <c r="F482" s="1"/>
      <c r="G482" s="1"/>
      <c r="I482" s="1"/>
      <c r="J482" s="1"/>
    </row>
    <row r="483">
      <c r="A483" s="1"/>
      <c r="B483" s="1"/>
      <c r="C483" s="75"/>
      <c r="D483" s="1"/>
      <c r="E483" s="1"/>
      <c r="F483" s="1"/>
      <c r="G483" s="1"/>
      <c r="I483" s="1"/>
      <c r="J483" s="1"/>
    </row>
    <row r="484">
      <c r="A484" s="1"/>
      <c r="B484" s="1"/>
      <c r="C484" s="75"/>
      <c r="D484" s="1"/>
      <c r="E484" s="1"/>
      <c r="F484" s="1"/>
      <c r="G484" s="1"/>
      <c r="I484" s="1"/>
      <c r="J484" s="1"/>
    </row>
    <row r="485">
      <c r="A485" s="1"/>
      <c r="B485" s="1"/>
      <c r="C485" s="75"/>
      <c r="D485" s="1"/>
      <c r="E485" s="1"/>
      <c r="F485" s="1"/>
      <c r="G485" s="1"/>
      <c r="I485" s="1"/>
      <c r="J485" s="1"/>
    </row>
    <row r="486">
      <c r="A486" s="1"/>
      <c r="B486" s="1"/>
      <c r="C486" s="75"/>
      <c r="D486" s="1"/>
      <c r="E486" s="1"/>
      <c r="F486" s="1"/>
      <c r="G486" s="1"/>
      <c r="I486" s="1"/>
      <c r="J486" s="1"/>
    </row>
    <row r="487">
      <c r="A487" s="1"/>
      <c r="B487" s="1"/>
      <c r="C487" s="75"/>
      <c r="D487" s="1"/>
      <c r="E487" s="1"/>
      <c r="F487" s="1"/>
      <c r="G487" s="1"/>
      <c r="I487" s="1"/>
      <c r="J487" s="1"/>
    </row>
    <row r="488">
      <c r="A488" s="1"/>
      <c r="B488" s="1"/>
      <c r="C488" s="75"/>
      <c r="D488" s="1"/>
      <c r="E488" s="1"/>
      <c r="F488" s="1"/>
      <c r="G488" s="1"/>
      <c r="I488" s="1"/>
      <c r="J488" s="1"/>
    </row>
    <row r="489">
      <c r="A489" s="1"/>
      <c r="B489" s="1"/>
      <c r="C489" s="75"/>
      <c r="D489" s="1"/>
      <c r="E489" s="1"/>
      <c r="F489" s="1"/>
      <c r="G489" s="1"/>
      <c r="I489" s="1"/>
      <c r="J489" s="1"/>
    </row>
    <row r="490">
      <c r="A490" s="1"/>
      <c r="B490" s="1"/>
      <c r="C490" s="75"/>
      <c r="D490" s="1"/>
      <c r="E490" s="1"/>
      <c r="F490" s="1"/>
      <c r="G490" s="1"/>
      <c r="I490" s="1"/>
      <c r="J490" s="1"/>
    </row>
    <row r="491">
      <c r="A491" s="1"/>
      <c r="B491" s="1"/>
      <c r="C491" s="75"/>
      <c r="D491" s="1"/>
      <c r="E491" s="1"/>
      <c r="F491" s="1"/>
      <c r="G491" s="1"/>
      <c r="I491" s="1"/>
      <c r="J491" s="1"/>
    </row>
    <row r="492">
      <c r="A492" s="1"/>
      <c r="B492" s="1"/>
      <c r="C492" s="75"/>
      <c r="D492" s="1"/>
      <c r="E492" s="1"/>
      <c r="F492" s="1"/>
      <c r="G492" s="1"/>
      <c r="I492" s="1"/>
      <c r="J492" s="1"/>
    </row>
    <row r="493">
      <c r="A493" s="1"/>
      <c r="B493" s="1"/>
      <c r="C493" s="75"/>
      <c r="D493" s="1"/>
      <c r="E493" s="1"/>
      <c r="F493" s="1"/>
      <c r="G493" s="1"/>
      <c r="I493" s="1"/>
      <c r="J493" s="1"/>
    </row>
    <row r="494">
      <c r="A494" s="1"/>
      <c r="B494" s="1"/>
      <c r="C494" s="75"/>
      <c r="D494" s="1"/>
      <c r="E494" s="1"/>
      <c r="F494" s="1"/>
      <c r="G494" s="1"/>
      <c r="I494" s="1"/>
      <c r="J494" s="1"/>
    </row>
    <row r="495">
      <c r="A495" s="1"/>
      <c r="B495" s="1"/>
      <c r="C495" s="75"/>
      <c r="D495" s="1"/>
      <c r="E495" s="1"/>
      <c r="F495" s="1"/>
      <c r="G495" s="1"/>
      <c r="I495" s="1"/>
      <c r="J495" s="1"/>
    </row>
    <row r="496">
      <c r="A496" s="1"/>
      <c r="B496" s="1"/>
      <c r="C496" s="75"/>
      <c r="D496" s="1"/>
      <c r="E496" s="1"/>
      <c r="F496" s="1"/>
      <c r="G496" s="1"/>
      <c r="I496" s="1"/>
      <c r="J496" s="1"/>
    </row>
    <row r="497">
      <c r="A497" s="1"/>
      <c r="B497" s="1"/>
      <c r="C497" s="75"/>
      <c r="D497" s="1"/>
      <c r="E497" s="1"/>
      <c r="F497" s="1"/>
      <c r="G497" s="1"/>
      <c r="I497" s="1"/>
      <c r="J497" s="1"/>
    </row>
    <row r="498">
      <c r="A498" s="1"/>
      <c r="B498" s="1"/>
      <c r="C498" s="75"/>
      <c r="D498" s="1"/>
      <c r="E498" s="1"/>
      <c r="F498" s="1"/>
      <c r="G498" s="1"/>
      <c r="I498" s="1"/>
      <c r="J498" s="1"/>
    </row>
    <row r="499">
      <c r="A499" s="1"/>
      <c r="B499" s="1"/>
      <c r="C499" s="75"/>
      <c r="D499" s="1"/>
      <c r="E499" s="1"/>
      <c r="F499" s="1"/>
      <c r="G499" s="1"/>
      <c r="I499" s="1"/>
      <c r="J499" s="1"/>
    </row>
    <row r="500">
      <c r="A500" s="1"/>
      <c r="B500" s="1"/>
      <c r="C500" s="75"/>
      <c r="D500" s="1"/>
      <c r="E500" s="1"/>
      <c r="F500" s="1"/>
      <c r="G500" s="1"/>
      <c r="I500" s="1"/>
      <c r="J500" s="1"/>
    </row>
    <row r="501">
      <c r="A501" s="1"/>
      <c r="B501" s="1"/>
      <c r="C501" s="75"/>
      <c r="D501" s="1"/>
      <c r="E501" s="1"/>
      <c r="F501" s="1"/>
      <c r="G501" s="1"/>
      <c r="I501" s="1"/>
      <c r="J501" s="1"/>
    </row>
    <row r="502">
      <c r="A502" s="1"/>
      <c r="B502" s="1"/>
      <c r="C502" s="75"/>
      <c r="D502" s="1"/>
      <c r="E502" s="1"/>
      <c r="F502" s="1"/>
      <c r="G502" s="1"/>
      <c r="I502" s="1"/>
      <c r="J502" s="1"/>
    </row>
    <row r="503">
      <c r="A503" s="1"/>
      <c r="B503" s="1"/>
      <c r="C503" s="75"/>
      <c r="D503" s="1"/>
      <c r="E503" s="1"/>
      <c r="F503" s="1"/>
      <c r="G503" s="1"/>
      <c r="I503" s="1"/>
      <c r="J503" s="1"/>
    </row>
    <row r="504">
      <c r="A504" s="1"/>
      <c r="B504" s="1"/>
      <c r="C504" s="75"/>
      <c r="D504" s="1"/>
      <c r="E504" s="1"/>
      <c r="F504" s="1"/>
      <c r="G504" s="1"/>
      <c r="I504" s="1"/>
      <c r="J504" s="1"/>
    </row>
    <row r="505">
      <c r="A505" s="1"/>
      <c r="B505" s="1"/>
      <c r="C505" s="75"/>
      <c r="D505" s="1"/>
      <c r="E505" s="1"/>
      <c r="F505" s="1"/>
      <c r="G505" s="1"/>
      <c r="I505" s="1"/>
      <c r="J505" s="1"/>
    </row>
    <row r="506">
      <c r="A506" s="1"/>
      <c r="B506" s="1"/>
      <c r="C506" s="75"/>
      <c r="D506" s="1"/>
      <c r="E506" s="1"/>
      <c r="F506" s="1"/>
      <c r="G506" s="1"/>
      <c r="I506" s="1"/>
      <c r="J506" s="1"/>
    </row>
    <row r="507">
      <c r="A507" s="1"/>
      <c r="B507" s="1"/>
      <c r="C507" s="75"/>
      <c r="D507" s="1"/>
      <c r="E507" s="1"/>
      <c r="F507" s="1"/>
      <c r="G507" s="1"/>
      <c r="I507" s="1"/>
      <c r="J507" s="1"/>
    </row>
    <row r="508">
      <c r="A508" s="1"/>
      <c r="B508" s="1"/>
      <c r="C508" s="75"/>
      <c r="D508" s="1"/>
      <c r="E508" s="1"/>
      <c r="F508" s="1"/>
      <c r="G508" s="1"/>
      <c r="I508" s="1"/>
      <c r="J508" s="1"/>
    </row>
    <row r="509">
      <c r="A509" s="1"/>
      <c r="B509" s="1"/>
      <c r="C509" s="75"/>
      <c r="D509" s="1"/>
      <c r="E509" s="1"/>
      <c r="F509" s="1"/>
      <c r="G509" s="1"/>
      <c r="I509" s="1"/>
      <c r="J509" s="1"/>
    </row>
    <row r="510">
      <c r="A510" s="1"/>
      <c r="B510" s="1"/>
      <c r="C510" s="75"/>
      <c r="D510" s="1"/>
      <c r="E510" s="1"/>
      <c r="F510" s="1"/>
      <c r="G510" s="1"/>
      <c r="I510" s="1"/>
      <c r="J510" s="1"/>
    </row>
    <row r="511">
      <c r="A511" s="1"/>
      <c r="B511" s="1"/>
      <c r="C511" s="75"/>
      <c r="D511" s="1"/>
      <c r="E511" s="1"/>
      <c r="F511" s="1"/>
      <c r="G511" s="1"/>
      <c r="I511" s="1"/>
      <c r="J511" s="1"/>
    </row>
    <row r="512">
      <c r="A512" s="1"/>
      <c r="B512" s="1"/>
      <c r="C512" s="75"/>
      <c r="D512" s="1"/>
      <c r="E512" s="1"/>
      <c r="F512" s="1"/>
      <c r="G512" s="1"/>
      <c r="I512" s="1"/>
      <c r="J512" s="1"/>
    </row>
    <row r="513">
      <c r="A513" s="1"/>
      <c r="B513" s="1"/>
      <c r="C513" s="75"/>
      <c r="D513" s="1"/>
      <c r="E513" s="1"/>
      <c r="F513" s="1"/>
      <c r="G513" s="1"/>
      <c r="I513" s="1"/>
      <c r="J513" s="1"/>
    </row>
    <row r="514">
      <c r="A514" s="1"/>
      <c r="B514" s="1"/>
      <c r="C514" s="75"/>
      <c r="D514" s="1"/>
      <c r="E514" s="1"/>
      <c r="F514" s="1"/>
      <c r="G514" s="1"/>
      <c r="I514" s="1"/>
      <c r="J514" s="1"/>
    </row>
    <row r="515">
      <c r="A515" s="1"/>
      <c r="B515" s="1"/>
      <c r="C515" s="75"/>
      <c r="D515" s="1"/>
      <c r="E515" s="1"/>
      <c r="F515" s="1"/>
      <c r="G515" s="1"/>
      <c r="I515" s="1"/>
      <c r="J515" s="1"/>
    </row>
    <row r="516">
      <c r="A516" s="1"/>
      <c r="B516" s="1"/>
      <c r="C516" s="75"/>
      <c r="D516" s="1"/>
      <c r="E516" s="1"/>
      <c r="F516" s="1"/>
      <c r="G516" s="1"/>
      <c r="I516" s="1"/>
      <c r="J516" s="1"/>
    </row>
    <row r="517">
      <c r="A517" s="1"/>
      <c r="B517" s="1"/>
      <c r="C517" s="75"/>
      <c r="D517" s="1"/>
      <c r="E517" s="1"/>
      <c r="F517" s="1"/>
      <c r="G517" s="1"/>
      <c r="I517" s="1"/>
      <c r="J517" s="1"/>
    </row>
    <row r="518">
      <c r="A518" s="1"/>
      <c r="B518" s="1"/>
      <c r="C518" s="75"/>
      <c r="D518" s="1"/>
      <c r="E518" s="1"/>
      <c r="F518" s="1"/>
      <c r="G518" s="1"/>
      <c r="I518" s="1"/>
      <c r="J518" s="1"/>
    </row>
    <row r="519">
      <c r="A519" s="1"/>
      <c r="B519" s="1"/>
      <c r="C519" s="75"/>
      <c r="D519" s="1"/>
      <c r="E519" s="1"/>
      <c r="F519" s="1"/>
      <c r="G519" s="1"/>
      <c r="I519" s="1"/>
      <c r="J519" s="1"/>
    </row>
    <row r="520">
      <c r="A520" s="1"/>
      <c r="B520" s="1"/>
      <c r="C520" s="75"/>
      <c r="D520" s="1"/>
      <c r="E520" s="1"/>
      <c r="F520" s="1"/>
      <c r="G520" s="1"/>
      <c r="I520" s="1"/>
      <c r="J520" s="1"/>
    </row>
    <row r="521">
      <c r="A521" s="1"/>
      <c r="B521" s="1"/>
      <c r="C521" s="75"/>
      <c r="D521" s="1"/>
      <c r="E521" s="1"/>
      <c r="F521" s="1"/>
      <c r="G521" s="1"/>
      <c r="I521" s="1"/>
      <c r="J521" s="1"/>
    </row>
    <row r="522">
      <c r="A522" s="1"/>
      <c r="B522" s="1"/>
      <c r="C522" s="75"/>
      <c r="D522" s="1"/>
      <c r="E522" s="1"/>
      <c r="F522" s="1"/>
      <c r="G522" s="1"/>
      <c r="I522" s="1"/>
      <c r="J522" s="1"/>
    </row>
    <row r="523">
      <c r="A523" s="1"/>
      <c r="B523" s="1"/>
      <c r="C523" s="75"/>
      <c r="D523" s="1"/>
      <c r="E523" s="1"/>
      <c r="F523" s="1"/>
      <c r="G523" s="1"/>
      <c r="I523" s="1"/>
      <c r="J523" s="1"/>
    </row>
    <row r="524">
      <c r="A524" s="1"/>
      <c r="B524" s="1"/>
      <c r="C524" s="75"/>
      <c r="D524" s="1"/>
      <c r="E524" s="1"/>
      <c r="F524" s="1"/>
      <c r="G524" s="1"/>
      <c r="I524" s="1"/>
      <c r="J524" s="1"/>
    </row>
    <row r="525">
      <c r="A525" s="1"/>
      <c r="B525" s="1"/>
      <c r="C525" s="75"/>
      <c r="D525" s="1"/>
      <c r="E525" s="1"/>
      <c r="F525" s="1"/>
      <c r="G525" s="1"/>
      <c r="I525" s="1"/>
      <c r="J525" s="1"/>
    </row>
    <row r="526">
      <c r="A526" s="1"/>
      <c r="B526" s="1"/>
      <c r="C526" s="75"/>
      <c r="D526" s="1"/>
      <c r="E526" s="1"/>
      <c r="F526" s="1"/>
      <c r="G526" s="1"/>
      <c r="I526" s="1"/>
      <c r="J526" s="1"/>
    </row>
    <row r="527">
      <c r="A527" s="1"/>
      <c r="B527" s="1"/>
      <c r="C527" s="75"/>
      <c r="D527" s="1"/>
      <c r="E527" s="1"/>
      <c r="F527" s="1"/>
      <c r="G527" s="1"/>
      <c r="I527" s="1"/>
      <c r="J527" s="1"/>
    </row>
    <row r="528">
      <c r="A528" s="1"/>
      <c r="B528" s="1"/>
      <c r="C528" s="75"/>
      <c r="D528" s="1"/>
      <c r="E528" s="1"/>
      <c r="F528" s="1"/>
      <c r="G528" s="1"/>
      <c r="I528" s="1"/>
      <c r="J528" s="1"/>
    </row>
    <row r="529">
      <c r="A529" s="1"/>
      <c r="B529" s="1"/>
      <c r="C529" s="75"/>
      <c r="D529" s="1"/>
      <c r="E529" s="1"/>
      <c r="F529" s="1"/>
      <c r="G529" s="1"/>
      <c r="I529" s="1"/>
      <c r="J529" s="1"/>
    </row>
    <row r="530">
      <c r="A530" s="1"/>
      <c r="B530" s="1"/>
      <c r="C530" s="75"/>
      <c r="D530" s="1"/>
      <c r="E530" s="1"/>
      <c r="F530" s="1"/>
      <c r="G530" s="1"/>
      <c r="I530" s="1"/>
      <c r="J530" s="1"/>
    </row>
    <row r="531">
      <c r="A531" s="1"/>
      <c r="B531" s="1"/>
      <c r="C531" s="75"/>
      <c r="D531" s="1"/>
      <c r="E531" s="1"/>
      <c r="F531" s="1"/>
      <c r="G531" s="1"/>
      <c r="I531" s="1"/>
      <c r="J531" s="1"/>
    </row>
    <row r="532">
      <c r="A532" s="1"/>
      <c r="B532" s="1"/>
      <c r="C532" s="75"/>
      <c r="D532" s="1"/>
      <c r="E532" s="1"/>
      <c r="F532" s="1"/>
      <c r="G532" s="1"/>
      <c r="I532" s="1"/>
      <c r="J532" s="1"/>
    </row>
    <row r="533">
      <c r="A533" s="1"/>
      <c r="B533" s="1"/>
      <c r="C533" s="75"/>
      <c r="D533" s="1"/>
      <c r="E533" s="1"/>
      <c r="F533" s="1"/>
      <c r="G533" s="1"/>
      <c r="I533" s="1"/>
      <c r="J533" s="1"/>
    </row>
    <row r="534">
      <c r="A534" s="1"/>
      <c r="B534" s="1"/>
      <c r="C534" s="75"/>
      <c r="D534" s="1"/>
      <c r="E534" s="1"/>
      <c r="F534" s="1"/>
      <c r="G534" s="1"/>
      <c r="I534" s="1"/>
      <c r="J534" s="1"/>
    </row>
    <row r="535">
      <c r="A535" s="1"/>
      <c r="B535" s="1"/>
      <c r="C535" s="75"/>
      <c r="D535" s="1"/>
      <c r="E535" s="1"/>
      <c r="F535" s="1"/>
      <c r="G535" s="1"/>
      <c r="I535" s="1"/>
      <c r="J535" s="1"/>
    </row>
    <row r="536">
      <c r="A536" s="1"/>
      <c r="B536" s="1"/>
      <c r="C536" s="75"/>
      <c r="D536" s="1"/>
      <c r="E536" s="1"/>
      <c r="F536" s="1"/>
      <c r="G536" s="1"/>
      <c r="I536" s="1"/>
      <c r="J536" s="1"/>
    </row>
    <row r="537">
      <c r="A537" s="1"/>
      <c r="B537" s="1"/>
      <c r="C537" s="75"/>
      <c r="D537" s="1"/>
      <c r="E537" s="1"/>
      <c r="F537" s="1"/>
      <c r="G537" s="1"/>
      <c r="I537" s="1"/>
      <c r="J537" s="1"/>
    </row>
    <row r="538">
      <c r="A538" s="1"/>
      <c r="B538" s="1"/>
      <c r="C538" s="75"/>
      <c r="D538" s="1"/>
      <c r="E538" s="1"/>
      <c r="F538" s="1"/>
      <c r="G538" s="1"/>
      <c r="I538" s="1"/>
      <c r="J538" s="1"/>
    </row>
    <row r="539">
      <c r="A539" s="1"/>
      <c r="B539" s="1"/>
      <c r="C539" s="75"/>
      <c r="D539" s="1"/>
      <c r="E539" s="1"/>
      <c r="F539" s="1"/>
      <c r="G539" s="1"/>
      <c r="I539" s="1"/>
      <c r="J539" s="1"/>
    </row>
    <row r="540">
      <c r="A540" s="1"/>
      <c r="B540" s="1"/>
      <c r="C540" s="75"/>
      <c r="D540" s="1"/>
      <c r="E540" s="1"/>
      <c r="F540" s="1"/>
      <c r="G540" s="1"/>
      <c r="I540" s="1"/>
      <c r="J540" s="1"/>
    </row>
    <row r="541">
      <c r="A541" s="1"/>
      <c r="B541" s="1"/>
      <c r="C541" s="75"/>
      <c r="D541" s="1"/>
      <c r="E541" s="1"/>
      <c r="F541" s="1"/>
      <c r="G541" s="1"/>
      <c r="I541" s="1"/>
      <c r="J541" s="1"/>
    </row>
    <row r="542">
      <c r="A542" s="1"/>
      <c r="B542" s="1"/>
      <c r="C542" s="75"/>
      <c r="D542" s="1"/>
      <c r="E542" s="1"/>
      <c r="F542" s="1"/>
      <c r="G542" s="1"/>
      <c r="I542" s="1"/>
      <c r="J542" s="1"/>
    </row>
    <row r="543">
      <c r="A543" s="1"/>
      <c r="B543" s="1"/>
      <c r="C543" s="75"/>
      <c r="D543" s="1"/>
      <c r="E543" s="1"/>
      <c r="F543" s="1"/>
      <c r="G543" s="1"/>
      <c r="I543" s="1"/>
      <c r="J543" s="1"/>
    </row>
    <row r="544">
      <c r="A544" s="1"/>
      <c r="B544" s="1"/>
      <c r="C544" s="75"/>
      <c r="D544" s="1"/>
      <c r="E544" s="1"/>
      <c r="F544" s="1"/>
      <c r="G544" s="1"/>
      <c r="I544" s="1"/>
      <c r="J544" s="1"/>
    </row>
    <row r="545">
      <c r="A545" s="1"/>
      <c r="B545" s="1"/>
      <c r="C545" s="75"/>
      <c r="D545" s="1"/>
      <c r="E545" s="1"/>
      <c r="F545" s="1"/>
      <c r="G545" s="1"/>
      <c r="I545" s="1"/>
      <c r="J545" s="1"/>
    </row>
    <row r="546">
      <c r="A546" s="1"/>
      <c r="B546" s="1"/>
      <c r="C546" s="75"/>
      <c r="D546" s="1"/>
      <c r="E546" s="1"/>
      <c r="F546" s="1"/>
      <c r="G546" s="1"/>
      <c r="I546" s="1"/>
      <c r="J546" s="1"/>
    </row>
    <row r="547">
      <c r="A547" s="1"/>
      <c r="B547" s="1"/>
      <c r="C547" s="75"/>
      <c r="D547" s="1"/>
      <c r="E547" s="1"/>
      <c r="F547" s="1"/>
      <c r="G547" s="1"/>
      <c r="I547" s="1"/>
      <c r="J547" s="1"/>
    </row>
    <row r="548">
      <c r="A548" s="1"/>
      <c r="B548" s="1"/>
      <c r="C548" s="75"/>
      <c r="D548" s="1"/>
      <c r="E548" s="1"/>
      <c r="F548" s="1"/>
      <c r="G548" s="1"/>
      <c r="I548" s="1"/>
      <c r="J548" s="1"/>
    </row>
    <row r="549">
      <c r="A549" s="1"/>
      <c r="B549" s="1"/>
      <c r="C549" s="75"/>
      <c r="D549" s="1"/>
      <c r="E549" s="1"/>
      <c r="F549" s="1"/>
      <c r="G549" s="1"/>
      <c r="I549" s="1"/>
      <c r="J549" s="1"/>
    </row>
    <row r="550">
      <c r="A550" s="1"/>
      <c r="B550" s="1"/>
      <c r="C550" s="75"/>
      <c r="D550" s="1"/>
      <c r="E550" s="1"/>
      <c r="F550" s="1"/>
      <c r="G550" s="1"/>
      <c r="I550" s="1"/>
      <c r="J550" s="1"/>
    </row>
    <row r="551">
      <c r="A551" s="1"/>
      <c r="B551" s="1"/>
      <c r="C551" s="75"/>
      <c r="D551" s="1"/>
      <c r="E551" s="1"/>
      <c r="F551" s="1"/>
      <c r="G551" s="1"/>
      <c r="I551" s="1"/>
      <c r="J551" s="1"/>
    </row>
    <row r="552">
      <c r="A552" s="1"/>
      <c r="B552" s="1"/>
      <c r="C552" s="75"/>
      <c r="D552" s="1"/>
      <c r="E552" s="1"/>
      <c r="F552" s="1"/>
      <c r="G552" s="1"/>
      <c r="I552" s="1"/>
      <c r="J552" s="1"/>
    </row>
    <row r="553">
      <c r="A553" s="1"/>
      <c r="B553" s="1"/>
      <c r="C553" s="75"/>
      <c r="D553" s="1"/>
      <c r="E553" s="1"/>
      <c r="F553" s="1"/>
      <c r="G553" s="1"/>
      <c r="I553" s="1"/>
      <c r="J553" s="1"/>
    </row>
    <row r="554">
      <c r="A554" s="1"/>
      <c r="B554" s="1"/>
      <c r="C554" s="75"/>
      <c r="D554" s="1"/>
      <c r="E554" s="1"/>
      <c r="F554" s="1"/>
      <c r="G554" s="1"/>
      <c r="I554" s="1"/>
      <c r="J554" s="1"/>
    </row>
    <row r="555">
      <c r="A555" s="1"/>
      <c r="B555" s="1"/>
      <c r="C555" s="75"/>
      <c r="D555" s="1"/>
      <c r="E555" s="1"/>
      <c r="F555" s="1"/>
      <c r="G555" s="1"/>
      <c r="I555" s="1"/>
      <c r="J555" s="1"/>
    </row>
    <row r="556">
      <c r="A556" s="1"/>
      <c r="B556" s="1"/>
      <c r="C556" s="75"/>
      <c r="D556" s="1"/>
      <c r="E556" s="1"/>
      <c r="F556" s="1"/>
      <c r="G556" s="1"/>
      <c r="I556" s="1"/>
      <c r="J556" s="1"/>
    </row>
    <row r="557">
      <c r="A557" s="1"/>
      <c r="B557" s="1"/>
      <c r="C557" s="75"/>
      <c r="D557" s="1"/>
      <c r="E557" s="1"/>
      <c r="F557" s="1"/>
      <c r="G557" s="1"/>
      <c r="I557" s="1"/>
      <c r="J557" s="1"/>
    </row>
    <row r="558">
      <c r="A558" s="1"/>
      <c r="B558" s="1"/>
      <c r="C558" s="75"/>
      <c r="D558" s="1"/>
      <c r="E558" s="1"/>
      <c r="F558" s="1"/>
      <c r="G558" s="1"/>
      <c r="I558" s="1"/>
      <c r="J558" s="1"/>
    </row>
    <row r="559">
      <c r="A559" s="1"/>
      <c r="B559" s="1"/>
      <c r="C559" s="75"/>
      <c r="D559" s="1"/>
      <c r="E559" s="1"/>
      <c r="F559" s="1"/>
      <c r="G559" s="1"/>
      <c r="I559" s="1"/>
      <c r="J559" s="1"/>
    </row>
    <row r="560">
      <c r="A560" s="1"/>
      <c r="B560" s="1"/>
      <c r="C560" s="75"/>
      <c r="D560" s="1"/>
      <c r="E560" s="1"/>
      <c r="F560" s="1"/>
      <c r="G560" s="1"/>
      <c r="I560" s="1"/>
      <c r="J560" s="1"/>
    </row>
    <row r="561">
      <c r="A561" s="1"/>
      <c r="B561" s="1"/>
      <c r="C561" s="75"/>
      <c r="D561" s="1"/>
      <c r="E561" s="1"/>
      <c r="F561" s="1"/>
      <c r="G561" s="1"/>
      <c r="I561" s="1"/>
      <c r="J561" s="1"/>
    </row>
    <row r="562">
      <c r="A562" s="1"/>
      <c r="B562" s="1"/>
      <c r="C562" s="75"/>
      <c r="D562" s="1"/>
      <c r="E562" s="1"/>
      <c r="F562" s="1"/>
      <c r="G562" s="1"/>
      <c r="I562" s="1"/>
      <c r="J562" s="1"/>
    </row>
    <row r="563">
      <c r="A563" s="1"/>
      <c r="B563" s="1"/>
      <c r="C563" s="75"/>
      <c r="D563" s="1"/>
      <c r="E563" s="1"/>
      <c r="F563" s="1"/>
      <c r="G563" s="1"/>
      <c r="I563" s="1"/>
      <c r="J563" s="1"/>
    </row>
    <row r="564">
      <c r="A564" s="1"/>
      <c r="B564" s="1"/>
      <c r="C564" s="75"/>
      <c r="D564" s="1"/>
      <c r="E564" s="1"/>
      <c r="F564" s="1"/>
      <c r="G564" s="1"/>
      <c r="I564" s="1"/>
      <c r="J564" s="1"/>
    </row>
    <row r="565">
      <c r="A565" s="1"/>
      <c r="B565" s="1"/>
      <c r="C565" s="75"/>
      <c r="D565" s="1"/>
      <c r="E565" s="1"/>
      <c r="F565" s="1"/>
      <c r="G565" s="1"/>
      <c r="I565" s="1"/>
      <c r="J565" s="1"/>
    </row>
    <row r="566">
      <c r="A566" s="1"/>
      <c r="B566" s="1"/>
      <c r="C566" s="75"/>
      <c r="D566" s="1"/>
      <c r="E566" s="1"/>
      <c r="F566" s="1"/>
      <c r="G566" s="1"/>
      <c r="I566" s="1"/>
      <c r="J566" s="1"/>
    </row>
    <row r="567">
      <c r="A567" s="1"/>
      <c r="B567" s="1"/>
      <c r="C567" s="75"/>
      <c r="D567" s="1"/>
      <c r="E567" s="1"/>
      <c r="F567" s="1"/>
      <c r="G567" s="1"/>
      <c r="I567" s="1"/>
      <c r="J567" s="1"/>
    </row>
    <row r="568">
      <c r="A568" s="1"/>
      <c r="B568" s="1"/>
      <c r="C568" s="75"/>
      <c r="D568" s="1"/>
      <c r="E568" s="1"/>
      <c r="F568" s="1"/>
      <c r="G568" s="1"/>
      <c r="I568" s="1"/>
      <c r="J568" s="1"/>
    </row>
    <row r="569">
      <c r="A569" s="1"/>
      <c r="B569" s="1"/>
      <c r="C569" s="75"/>
      <c r="D569" s="1"/>
      <c r="E569" s="1"/>
      <c r="F569" s="1"/>
      <c r="G569" s="1"/>
      <c r="I569" s="1"/>
      <c r="J569" s="1"/>
    </row>
    <row r="570">
      <c r="A570" s="1"/>
      <c r="B570" s="1"/>
      <c r="C570" s="75"/>
      <c r="D570" s="1"/>
      <c r="E570" s="1"/>
      <c r="F570" s="1"/>
      <c r="G570" s="1"/>
      <c r="I570" s="1"/>
      <c r="J570" s="1"/>
    </row>
    <row r="571">
      <c r="A571" s="1"/>
      <c r="B571" s="1"/>
      <c r="C571" s="75"/>
      <c r="D571" s="1"/>
      <c r="E571" s="1"/>
      <c r="F571" s="1"/>
      <c r="G571" s="1"/>
      <c r="I571" s="1"/>
      <c r="J571" s="1"/>
    </row>
    <row r="572">
      <c r="A572" s="1"/>
      <c r="B572" s="1"/>
      <c r="C572" s="75"/>
      <c r="D572" s="1"/>
      <c r="E572" s="1"/>
      <c r="F572" s="1"/>
      <c r="G572" s="1"/>
      <c r="I572" s="1"/>
      <c r="J572" s="1"/>
    </row>
    <row r="573">
      <c r="A573" s="1"/>
      <c r="B573" s="1"/>
      <c r="C573" s="75"/>
      <c r="D573" s="1"/>
      <c r="E573" s="1"/>
      <c r="F573" s="1"/>
      <c r="G573" s="1"/>
      <c r="I573" s="1"/>
      <c r="J573" s="1"/>
    </row>
    <row r="574">
      <c r="A574" s="1"/>
      <c r="B574" s="1"/>
      <c r="C574" s="75"/>
      <c r="D574" s="1"/>
      <c r="E574" s="1"/>
      <c r="F574" s="1"/>
      <c r="G574" s="1"/>
      <c r="I574" s="1"/>
      <c r="J574" s="1"/>
    </row>
    <row r="575">
      <c r="A575" s="1"/>
      <c r="B575" s="1"/>
      <c r="C575" s="75"/>
      <c r="D575" s="1"/>
      <c r="E575" s="1"/>
      <c r="F575" s="1"/>
      <c r="G575" s="1"/>
      <c r="I575" s="1"/>
      <c r="J575" s="1"/>
    </row>
    <row r="576">
      <c r="A576" s="1"/>
      <c r="B576" s="1"/>
      <c r="C576" s="75"/>
      <c r="D576" s="1"/>
      <c r="E576" s="1"/>
      <c r="F576" s="1"/>
      <c r="G576" s="1"/>
      <c r="I576" s="1"/>
      <c r="J576" s="1"/>
    </row>
    <row r="577">
      <c r="A577" s="1"/>
      <c r="B577" s="1"/>
      <c r="C577" s="75"/>
      <c r="D577" s="1"/>
      <c r="E577" s="1"/>
      <c r="F577" s="1"/>
      <c r="G577" s="1"/>
      <c r="I577" s="1"/>
      <c r="J577" s="1"/>
    </row>
    <row r="578">
      <c r="A578" s="1"/>
      <c r="B578" s="1"/>
      <c r="C578" s="75"/>
      <c r="D578" s="1"/>
      <c r="E578" s="1"/>
      <c r="F578" s="1"/>
      <c r="G578" s="1"/>
      <c r="I578" s="1"/>
      <c r="J578" s="1"/>
    </row>
    <row r="579">
      <c r="A579" s="1"/>
      <c r="B579" s="1"/>
      <c r="C579" s="75"/>
      <c r="D579" s="1"/>
      <c r="E579" s="1"/>
      <c r="F579" s="1"/>
      <c r="G579" s="1"/>
      <c r="I579" s="1"/>
      <c r="J579" s="1"/>
    </row>
    <row r="580">
      <c r="A580" s="1"/>
      <c r="B580" s="1"/>
      <c r="C580" s="75"/>
      <c r="D580" s="1"/>
      <c r="E580" s="1"/>
      <c r="F580" s="1"/>
      <c r="G580" s="1"/>
      <c r="I580" s="1"/>
      <c r="J580" s="1"/>
    </row>
    <row r="581">
      <c r="A581" s="1"/>
      <c r="B581" s="1"/>
      <c r="C581" s="75"/>
      <c r="D581" s="1"/>
      <c r="E581" s="1"/>
      <c r="F581" s="1"/>
      <c r="G581" s="1"/>
      <c r="I581" s="1"/>
      <c r="J581" s="1"/>
    </row>
    <row r="582">
      <c r="A582" s="1"/>
      <c r="B582" s="1"/>
      <c r="C582" s="75"/>
      <c r="D582" s="1"/>
      <c r="E582" s="1"/>
      <c r="F582" s="1"/>
      <c r="G582" s="1"/>
      <c r="I582" s="1"/>
      <c r="J582" s="1"/>
    </row>
    <row r="583">
      <c r="A583" s="1"/>
      <c r="B583" s="1"/>
      <c r="C583" s="75"/>
      <c r="D583" s="1"/>
      <c r="E583" s="1"/>
      <c r="F583" s="1"/>
      <c r="G583" s="1"/>
      <c r="I583" s="1"/>
      <c r="J583" s="1"/>
    </row>
    <row r="584">
      <c r="A584" s="1"/>
      <c r="B584" s="1"/>
      <c r="C584" s="75"/>
      <c r="D584" s="1"/>
      <c r="E584" s="1"/>
      <c r="F584" s="1"/>
      <c r="G584" s="1"/>
      <c r="I584" s="1"/>
      <c r="J584" s="1"/>
    </row>
    <row r="585">
      <c r="A585" s="1"/>
      <c r="B585" s="1"/>
      <c r="C585" s="75"/>
      <c r="D585" s="1"/>
      <c r="E585" s="1"/>
      <c r="F585" s="1"/>
      <c r="G585" s="1"/>
      <c r="I585" s="1"/>
      <c r="J585" s="1"/>
    </row>
    <row r="586">
      <c r="A586" s="1"/>
      <c r="B586" s="1"/>
      <c r="C586" s="75"/>
      <c r="D586" s="1"/>
      <c r="E586" s="1"/>
      <c r="F586" s="1"/>
      <c r="G586" s="1"/>
      <c r="I586" s="1"/>
      <c r="J586" s="1"/>
    </row>
    <row r="587">
      <c r="A587" s="1"/>
      <c r="B587" s="1"/>
      <c r="C587" s="75"/>
      <c r="D587" s="1"/>
      <c r="E587" s="1"/>
      <c r="F587" s="1"/>
      <c r="G587" s="1"/>
      <c r="I587" s="1"/>
      <c r="J587" s="1"/>
    </row>
    <row r="588">
      <c r="A588" s="1"/>
      <c r="B588" s="1"/>
      <c r="C588" s="75"/>
      <c r="D588" s="1"/>
      <c r="E588" s="1"/>
      <c r="F588" s="1"/>
      <c r="G588" s="1"/>
      <c r="I588" s="1"/>
      <c r="J588" s="1"/>
    </row>
    <row r="589">
      <c r="A589" s="1"/>
      <c r="B589" s="1"/>
      <c r="C589" s="75"/>
      <c r="D589" s="1"/>
      <c r="E589" s="1"/>
      <c r="F589" s="1"/>
      <c r="G589" s="1"/>
      <c r="I589" s="1"/>
      <c r="J589" s="1"/>
    </row>
    <row r="590">
      <c r="A590" s="1"/>
      <c r="B590" s="1"/>
      <c r="C590" s="75"/>
      <c r="D590" s="1"/>
      <c r="E590" s="1"/>
      <c r="F590" s="1"/>
      <c r="G590" s="1"/>
      <c r="I590" s="1"/>
      <c r="J590" s="1"/>
    </row>
    <row r="591">
      <c r="A591" s="1"/>
      <c r="B591" s="1"/>
      <c r="C591" s="75"/>
      <c r="D591" s="1"/>
      <c r="E591" s="1"/>
      <c r="F591" s="1"/>
      <c r="G591" s="1"/>
      <c r="I591" s="1"/>
      <c r="J591" s="1"/>
    </row>
    <row r="592">
      <c r="A592" s="1"/>
      <c r="B592" s="1"/>
      <c r="C592" s="75"/>
      <c r="D592" s="1"/>
      <c r="E592" s="1"/>
      <c r="F592" s="1"/>
      <c r="G592" s="1"/>
      <c r="I592" s="1"/>
      <c r="J592" s="1"/>
    </row>
    <row r="593">
      <c r="A593" s="1"/>
      <c r="B593" s="1"/>
      <c r="C593" s="75"/>
      <c r="D593" s="1"/>
      <c r="E593" s="1"/>
      <c r="F593" s="1"/>
      <c r="G593" s="1"/>
      <c r="I593" s="1"/>
      <c r="J593" s="1"/>
    </row>
    <row r="594">
      <c r="A594" s="1"/>
      <c r="B594" s="1"/>
      <c r="C594" s="75"/>
      <c r="D594" s="1"/>
      <c r="E594" s="1"/>
      <c r="F594" s="1"/>
      <c r="G594" s="1"/>
      <c r="I594" s="1"/>
      <c r="J594" s="1"/>
    </row>
    <row r="595">
      <c r="A595" s="1"/>
      <c r="B595" s="1"/>
      <c r="C595" s="75"/>
      <c r="D595" s="1"/>
      <c r="E595" s="1"/>
      <c r="F595" s="1"/>
      <c r="G595" s="1"/>
      <c r="I595" s="1"/>
      <c r="J595" s="1"/>
    </row>
    <row r="596">
      <c r="A596" s="1"/>
      <c r="B596" s="1"/>
      <c r="C596" s="75"/>
      <c r="D596" s="1"/>
      <c r="E596" s="1"/>
      <c r="F596" s="1"/>
      <c r="G596" s="1"/>
      <c r="I596" s="1"/>
      <c r="J596" s="1"/>
    </row>
    <row r="597">
      <c r="A597" s="1"/>
      <c r="B597" s="1"/>
      <c r="C597" s="75"/>
      <c r="D597" s="1"/>
      <c r="E597" s="1"/>
      <c r="F597" s="1"/>
      <c r="G597" s="1"/>
      <c r="I597" s="1"/>
      <c r="J597" s="1"/>
    </row>
    <row r="598">
      <c r="A598" s="1"/>
      <c r="B598" s="1"/>
      <c r="C598" s="75"/>
      <c r="D598" s="1"/>
      <c r="E598" s="1"/>
      <c r="F598" s="1"/>
      <c r="G598" s="1"/>
      <c r="I598" s="1"/>
      <c r="J598" s="1"/>
    </row>
    <row r="599">
      <c r="A599" s="1"/>
      <c r="B599" s="1"/>
      <c r="C599" s="75"/>
      <c r="D599" s="1"/>
      <c r="E599" s="1"/>
      <c r="F599" s="1"/>
      <c r="G599" s="1"/>
      <c r="I599" s="1"/>
      <c r="J599" s="1"/>
    </row>
    <row r="600">
      <c r="A600" s="1"/>
      <c r="B600" s="1"/>
      <c r="C600" s="75"/>
      <c r="D600" s="1"/>
      <c r="E600" s="1"/>
      <c r="F600" s="1"/>
      <c r="G600" s="1"/>
      <c r="I600" s="1"/>
      <c r="J600" s="1"/>
    </row>
    <row r="601">
      <c r="A601" s="1"/>
      <c r="B601" s="1"/>
      <c r="C601" s="75"/>
      <c r="D601" s="1"/>
      <c r="E601" s="1"/>
      <c r="F601" s="1"/>
      <c r="G601" s="1"/>
      <c r="I601" s="1"/>
      <c r="J601" s="1"/>
    </row>
    <row r="602">
      <c r="A602" s="1"/>
      <c r="B602" s="1"/>
      <c r="C602" s="75"/>
      <c r="D602" s="1"/>
      <c r="E602" s="1"/>
      <c r="F602" s="1"/>
      <c r="G602" s="1"/>
      <c r="I602" s="1"/>
      <c r="J602" s="1"/>
    </row>
    <row r="603">
      <c r="A603" s="1"/>
      <c r="B603" s="1"/>
      <c r="C603" s="75"/>
      <c r="D603" s="1"/>
      <c r="E603" s="1"/>
      <c r="F603" s="1"/>
      <c r="G603" s="1"/>
      <c r="I603" s="1"/>
      <c r="J603" s="1"/>
    </row>
    <row r="604">
      <c r="A604" s="1"/>
      <c r="B604" s="1"/>
      <c r="C604" s="75"/>
      <c r="D604" s="1"/>
      <c r="E604" s="1"/>
      <c r="F604" s="1"/>
      <c r="G604" s="1"/>
      <c r="I604" s="1"/>
      <c r="J604" s="1"/>
    </row>
    <row r="605">
      <c r="A605" s="1"/>
      <c r="B605" s="1"/>
      <c r="C605" s="75"/>
      <c r="D605" s="1"/>
      <c r="E605" s="1"/>
      <c r="F605" s="1"/>
      <c r="G605" s="1"/>
      <c r="I605" s="1"/>
      <c r="J605" s="1"/>
    </row>
    <row r="606">
      <c r="A606" s="1"/>
      <c r="B606" s="1"/>
      <c r="C606" s="75"/>
      <c r="D606" s="1"/>
      <c r="E606" s="1"/>
      <c r="F606" s="1"/>
      <c r="G606" s="1"/>
      <c r="I606" s="1"/>
      <c r="J606" s="1"/>
    </row>
    <row r="607">
      <c r="A607" s="1"/>
      <c r="B607" s="1"/>
      <c r="C607" s="75"/>
      <c r="D607" s="1"/>
      <c r="E607" s="1"/>
      <c r="F607" s="1"/>
      <c r="G607" s="1"/>
      <c r="I607" s="1"/>
      <c r="J607" s="1"/>
    </row>
    <row r="608">
      <c r="A608" s="1"/>
      <c r="B608" s="1"/>
      <c r="C608" s="75"/>
      <c r="D608" s="1"/>
      <c r="E608" s="1"/>
      <c r="F608" s="1"/>
      <c r="G608" s="1"/>
      <c r="I608" s="1"/>
      <c r="J608" s="1"/>
    </row>
    <row r="609">
      <c r="A609" s="1"/>
      <c r="B609" s="1"/>
      <c r="C609" s="75"/>
      <c r="D609" s="1"/>
      <c r="E609" s="1"/>
      <c r="F609" s="1"/>
      <c r="G609" s="1"/>
      <c r="I609" s="1"/>
      <c r="J609" s="1"/>
    </row>
    <row r="610">
      <c r="A610" s="1"/>
      <c r="B610" s="1"/>
      <c r="C610" s="75"/>
      <c r="D610" s="1"/>
      <c r="E610" s="1"/>
      <c r="F610" s="1"/>
      <c r="G610" s="1"/>
      <c r="I610" s="1"/>
      <c r="J610" s="1"/>
    </row>
    <row r="611">
      <c r="A611" s="1"/>
      <c r="B611" s="1"/>
      <c r="C611" s="75"/>
      <c r="D611" s="1"/>
      <c r="E611" s="1"/>
      <c r="F611" s="1"/>
      <c r="G611" s="1"/>
      <c r="I611" s="1"/>
      <c r="J611" s="1"/>
    </row>
    <row r="612">
      <c r="A612" s="1"/>
      <c r="B612" s="1"/>
      <c r="C612" s="75"/>
      <c r="D612" s="1"/>
      <c r="E612" s="1"/>
      <c r="F612" s="1"/>
      <c r="G612" s="1"/>
      <c r="I612" s="1"/>
      <c r="J612" s="1"/>
    </row>
    <row r="613">
      <c r="A613" s="1"/>
      <c r="B613" s="1"/>
      <c r="C613" s="75"/>
      <c r="D613" s="1"/>
      <c r="E613" s="1"/>
      <c r="F613" s="1"/>
      <c r="G613" s="1"/>
      <c r="I613" s="1"/>
      <c r="J613" s="1"/>
    </row>
    <row r="614">
      <c r="A614" s="1"/>
      <c r="B614" s="1"/>
      <c r="C614" s="75"/>
      <c r="D614" s="1"/>
      <c r="E614" s="1"/>
      <c r="F614" s="1"/>
      <c r="G614" s="1"/>
      <c r="I614" s="1"/>
      <c r="J614" s="1"/>
    </row>
    <row r="615">
      <c r="A615" s="1"/>
      <c r="B615" s="1"/>
      <c r="C615" s="75"/>
      <c r="D615" s="1"/>
      <c r="E615" s="1"/>
      <c r="F615" s="1"/>
      <c r="G615" s="1"/>
      <c r="I615" s="1"/>
      <c r="J615" s="1"/>
    </row>
    <row r="616">
      <c r="A616" s="1"/>
      <c r="B616" s="1"/>
      <c r="C616" s="75"/>
      <c r="D616" s="1"/>
      <c r="E616" s="1"/>
      <c r="F616" s="1"/>
      <c r="G616" s="1"/>
      <c r="I616" s="1"/>
      <c r="J616" s="1"/>
    </row>
    <row r="617">
      <c r="A617" s="1"/>
      <c r="B617" s="1"/>
      <c r="C617" s="75"/>
      <c r="D617" s="1"/>
      <c r="E617" s="1"/>
      <c r="F617" s="1"/>
      <c r="G617" s="1"/>
      <c r="I617" s="1"/>
      <c r="J617" s="1"/>
    </row>
    <row r="618">
      <c r="A618" s="1"/>
      <c r="B618" s="1"/>
      <c r="C618" s="75"/>
      <c r="D618" s="1"/>
      <c r="E618" s="1"/>
      <c r="F618" s="1"/>
      <c r="G618" s="1"/>
      <c r="I618" s="1"/>
      <c r="J618" s="1"/>
    </row>
    <row r="619">
      <c r="A619" s="1"/>
      <c r="B619" s="1"/>
      <c r="C619" s="75"/>
      <c r="D619" s="1"/>
      <c r="E619" s="1"/>
      <c r="F619" s="1"/>
      <c r="G619" s="1"/>
      <c r="I619" s="1"/>
      <c r="J619" s="1"/>
    </row>
    <row r="620">
      <c r="A620" s="1"/>
      <c r="B620" s="1"/>
      <c r="C620" s="75"/>
      <c r="D620" s="1"/>
      <c r="E620" s="1"/>
      <c r="F620" s="1"/>
      <c r="G620" s="1"/>
      <c r="I620" s="1"/>
      <c r="J620" s="1"/>
    </row>
    <row r="621">
      <c r="A621" s="1"/>
      <c r="B621" s="1"/>
      <c r="C621" s="75"/>
      <c r="D621" s="1"/>
      <c r="E621" s="1"/>
      <c r="F621" s="1"/>
      <c r="G621" s="1"/>
      <c r="I621" s="1"/>
      <c r="J621" s="1"/>
    </row>
    <row r="622">
      <c r="A622" s="1"/>
      <c r="B622" s="1"/>
      <c r="C622" s="75"/>
      <c r="D622" s="1"/>
      <c r="E622" s="1"/>
      <c r="F622" s="1"/>
      <c r="G622" s="1"/>
      <c r="I622" s="1"/>
      <c r="J622" s="1"/>
    </row>
    <row r="623">
      <c r="A623" s="1"/>
      <c r="B623" s="1"/>
      <c r="C623" s="75"/>
      <c r="D623" s="1"/>
      <c r="E623" s="1"/>
      <c r="F623" s="1"/>
      <c r="G623" s="1"/>
      <c r="I623" s="1"/>
      <c r="J623" s="1"/>
    </row>
    <row r="624">
      <c r="A624" s="1"/>
      <c r="B624" s="1"/>
      <c r="C624" s="75"/>
      <c r="D624" s="1"/>
      <c r="E624" s="1"/>
      <c r="F624" s="1"/>
      <c r="G624" s="1"/>
      <c r="I624" s="1"/>
      <c r="J624" s="1"/>
    </row>
    <row r="625">
      <c r="A625" s="1"/>
      <c r="B625" s="1"/>
      <c r="C625" s="75"/>
      <c r="D625" s="1"/>
      <c r="E625" s="1"/>
      <c r="F625" s="1"/>
      <c r="G625" s="1"/>
      <c r="I625" s="1"/>
      <c r="J625" s="1"/>
    </row>
    <row r="626">
      <c r="A626" s="1"/>
      <c r="B626" s="1"/>
      <c r="C626" s="75"/>
      <c r="D626" s="1"/>
      <c r="E626" s="1"/>
      <c r="F626" s="1"/>
      <c r="G626" s="1"/>
      <c r="I626" s="1"/>
      <c r="J626" s="1"/>
    </row>
    <row r="627">
      <c r="A627" s="1"/>
      <c r="B627" s="1"/>
      <c r="C627" s="75"/>
      <c r="D627" s="1"/>
      <c r="E627" s="1"/>
      <c r="F627" s="1"/>
      <c r="G627" s="1"/>
      <c r="I627" s="1"/>
      <c r="J627" s="1"/>
    </row>
    <row r="628">
      <c r="A628" s="1"/>
      <c r="B628" s="1"/>
      <c r="C628" s="75"/>
      <c r="D628" s="1"/>
      <c r="E628" s="1"/>
      <c r="F628" s="1"/>
      <c r="G628" s="1"/>
      <c r="I628" s="1"/>
      <c r="J628" s="1"/>
    </row>
    <row r="629">
      <c r="A629" s="1"/>
      <c r="B629" s="1"/>
      <c r="C629" s="75"/>
      <c r="D629" s="1"/>
      <c r="E629" s="1"/>
      <c r="F629" s="1"/>
      <c r="G629" s="1"/>
      <c r="I629" s="1"/>
      <c r="J629" s="1"/>
    </row>
    <row r="630">
      <c r="A630" s="1"/>
      <c r="B630" s="1"/>
      <c r="C630" s="75"/>
      <c r="D630" s="1"/>
      <c r="E630" s="1"/>
      <c r="F630" s="1"/>
      <c r="G630" s="1"/>
      <c r="I630" s="1"/>
      <c r="J630" s="1"/>
    </row>
    <row r="631">
      <c r="A631" s="1"/>
      <c r="B631" s="1"/>
      <c r="C631" s="75"/>
      <c r="D631" s="1"/>
      <c r="E631" s="1"/>
      <c r="F631" s="1"/>
      <c r="G631" s="1"/>
      <c r="I631" s="1"/>
      <c r="J631" s="1"/>
    </row>
    <row r="632">
      <c r="A632" s="1"/>
      <c r="B632" s="1"/>
      <c r="C632" s="75"/>
      <c r="D632" s="1"/>
      <c r="E632" s="1"/>
      <c r="F632" s="1"/>
      <c r="G632" s="1"/>
      <c r="I632" s="1"/>
      <c r="J632" s="1"/>
    </row>
    <row r="633">
      <c r="A633" s="1"/>
      <c r="B633" s="1"/>
      <c r="C633" s="75"/>
      <c r="D633" s="1"/>
      <c r="E633" s="1"/>
      <c r="F633" s="1"/>
      <c r="G633" s="1"/>
      <c r="I633" s="1"/>
      <c r="J633" s="1"/>
    </row>
    <row r="634">
      <c r="A634" s="1"/>
      <c r="B634" s="1"/>
      <c r="C634" s="75"/>
      <c r="D634" s="1"/>
      <c r="E634" s="1"/>
      <c r="F634" s="1"/>
      <c r="G634" s="1"/>
      <c r="I634" s="1"/>
      <c r="J634" s="1"/>
    </row>
    <row r="635">
      <c r="A635" s="1"/>
      <c r="B635" s="1"/>
      <c r="C635" s="75"/>
      <c r="D635" s="1"/>
      <c r="E635" s="1"/>
      <c r="F635" s="1"/>
      <c r="G635" s="1"/>
      <c r="I635" s="1"/>
      <c r="J635" s="1"/>
    </row>
    <row r="636">
      <c r="A636" s="1"/>
      <c r="B636" s="1"/>
      <c r="C636" s="75"/>
      <c r="D636" s="1"/>
      <c r="E636" s="1"/>
      <c r="F636" s="1"/>
      <c r="G636" s="1"/>
      <c r="I636" s="1"/>
      <c r="J636" s="1"/>
    </row>
    <row r="637">
      <c r="A637" s="1"/>
      <c r="B637" s="1"/>
      <c r="C637" s="75"/>
      <c r="D637" s="1"/>
      <c r="E637" s="1"/>
      <c r="F637" s="1"/>
      <c r="G637" s="1"/>
      <c r="I637" s="1"/>
      <c r="J637" s="1"/>
    </row>
    <row r="638">
      <c r="A638" s="1"/>
      <c r="B638" s="1"/>
      <c r="C638" s="75"/>
      <c r="D638" s="1"/>
      <c r="E638" s="1"/>
      <c r="F638" s="1"/>
      <c r="G638" s="1"/>
      <c r="I638" s="1"/>
      <c r="J638" s="1"/>
    </row>
    <row r="639">
      <c r="A639" s="1"/>
      <c r="B639" s="1"/>
      <c r="C639" s="75"/>
      <c r="D639" s="1"/>
      <c r="E639" s="1"/>
      <c r="F639" s="1"/>
      <c r="G639" s="1"/>
      <c r="I639" s="1"/>
      <c r="J639" s="1"/>
    </row>
    <row r="640">
      <c r="A640" s="1"/>
      <c r="B640" s="1"/>
      <c r="C640" s="75"/>
      <c r="D640" s="1"/>
      <c r="E640" s="1"/>
      <c r="F640" s="1"/>
      <c r="G640" s="1"/>
      <c r="I640" s="1"/>
      <c r="J640" s="1"/>
    </row>
    <row r="641">
      <c r="A641" s="1"/>
      <c r="B641" s="1"/>
      <c r="C641" s="75"/>
      <c r="D641" s="1"/>
      <c r="E641" s="1"/>
      <c r="F641" s="1"/>
      <c r="G641" s="1"/>
      <c r="I641" s="1"/>
      <c r="J641" s="1"/>
    </row>
    <row r="642">
      <c r="A642" s="1"/>
      <c r="B642" s="1"/>
      <c r="C642" s="75"/>
      <c r="D642" s="1"/>
      <c r="E642" s="1"/>
      <c r="F642" s="1"/>
      <c r="G642" s="1"/>
      <c r="I642" s="1"/>
      <c r="J642" s="1"/>
    </row>
    <row r="643">
      <c r="A643" s="1"/>
      <c r="B643" s="1"/>
      <c r="C643" s="75"/>
      <c r="D643" s="1"/>
      <c r="E643" s="1"/>
      <c r="F643" s="1"/>
      <c r="G643" s="1"/>
      <c r="I643" s="1"/>
      <c r="J643" s="1"/>
    </row>
    <row r="644">
      <c r="A644" s="1"/>
      <c r="B644" s="1"/>
      <c r="C644" s="75"/>
      <c r="D644" s="1"/>
      <c r="E644" s="1"/>
      <c r="F644" s="1"/>
      <c r="G644" s="1"/>
      <c r="I644" s="1"/>
      <c r="J644" s="1"/>
    </row>
    <row r="645">
      <c r="A645" s="1"/>
      <c r="B645" s="1"/>
      <c r="C645" s="75"/>
      <c r="D645" s="1"/>
      <c r="E645" s="1"/>
      <c r="F645" s="1"/>
      <c r="G645" s="1"/>
      <c r="I645" s="1"/>
      <c r="J645" s="1"/>
    </row>
    <row r="646">
      <c r="A646" s="1"/>
      <c r="B646" s="1"/>
      <c r="C646" s="75"/>
      <c r="D646" s="1"/>
      <c r="E646" s="1"/>
      <c r="F646" s="1"/>
      <c r="G646" s="1"/>
      <c r="I646" s="1"/>
      <c r="J646" s="1"/>
    </row>
    <row r="647">
      <c r="A647" s="1"/>
      <c r="B647" s="1"/>
      <c r="C647" s="75"/>
      <c r="D647" s="1"/>
      <c r="E647" s="1"/>
      <c r="F647" s="1"/>
      <c r="G647" s="1"/>
      <c r="I647" s="1"/>
      <c r="J647" s="1"/>
    </row>
    <row r="648">
      <c r="A648" s="1"/>
      <c r="B648" s="1"/>
      <c r="C648" s="75"/>
      <c r="D648" s="1"/>
      <c r="E648" s="1"/>
      <c r="F648" s="1"/>
      <c r="G648" s="1"/>
      <c r="I648" s="1"/>
      <c r="J648" s="1"/>
    </row>
    <row r="649">
      <c r="A649" s="1"/>
      <c r="B649" s="1"/>
      <c r="C649" s="75"/>
      <c r="D649" s="1"/>
      <c r="E649" s="1"/>
      <c r="F649" s="1"/>
      <c r="G649" s="1"/>
      <c r="I649" s="1"/>
      <c r="J649" s="1"/>
    </row>
    <row r="650">
      <c r="A650" s="1"/>
      <c r="B650" s="1"/>
      <c r="C650" s="75"/>
      <c r="D650" s="1"/>
      <c r="E650" s="1"/>
      <c r="F650" s="1"/>
      <c r="G650" s="1"/>
      <c r="I650" s="1"/>
      <c r="J650" s="1"/>
    </row>
    <row r="651">
      <c r="A651" s="1"/>
      <c r="B651" s="1"/>
      <c r="C651" s="75"/>
      <c r="D651" s="1"/>
      <c r="E651" s="1"/>
      <c r="F651" s="1"/>
      <c r="G651" s="1"/>
      <c r="I651" s="1"/>
      <c r="J651" s="1"/>
    </row>
    <row r="652">
      <c r="A652" s="1"/>
      <c r="B652" s="1"/>
      <c r="C652" s="75"/>
      <c r="D652" s="1"/>
      <c r="E652" s="1"/>
      <c r="F652" s="1"/>
      <c r="G652" s="1"/>
      <c r="I652" s="1"/>
      <c r="J652" s="1"/>
    </row>
    <row r="653">
      <c r="A653" s="1"/>
      <c r="B653" s="1"/>
      <c r="C653" s="75"/>
      <c r="D653" s="1"/>
      <c r="E653" s="1"/>
      <c r="F653" s="1"/>
      <c r="G653" s="1"/>
      <c r="I653" s="1"/>
      <c r="J653" s="1"/>
    </row>
    <row r="654">
      <c r="A654" s="1"/>
      <c r="B654" s="1"/>
      <c r="C654" s="75"/>
      <c r="D654" s="1"/>
      <c r="E654" s="1"/>
      <c r="F654" s="1"/>
      <c r="G654" s="1"/>
      <c r="I654" s="1"/>
      <c r="J654" s="1"/>
    </row>
    <row r="655">
      <c r="A655" s="1"/>
      <c r="B655" s="1"/>
      <c r="C655" s="75"/>
      <c r="D655" s="1"/>
      <c r="E655" s="1"/>
      <c r="F655" s="1"/>
      <c r="G655" s="1"/>
      <c r="I655" s="1"/>
      <c r="J655" s="1"/>
    </row>
    <row r="656">
      <c r="A656" s="1"/>
      <c r="B656" s="1"/>
      <c r="C656" s="75"/>
      <c r="D656" s="1"/>
      <c r="E656" s="1"/>
      <c r="F656" s="1"/>
      <c r="G656" s="1"/>
      <c r="I656" s="1"/>
      <c r="J656" s="1"/>
    </row>
    <row r="657">
      <c r="A657" s="1"/>
      <c r="B657" s="1"/>
      <c r="C657" s="75"/>
      <c r="D657" s="1"/>
      <c r="E657" s="1"/>
      <c r="F657" s="1"/>
      <c r="G657" s="1"/>
      <c r="I657" s="1"/>
      <c r="J657" s="1"/>
    </row>
    <row r="658">
      <c r="A658" s="1"/>
      <c r="B658" s="1"/>
      <c r="C658" s="75"/>
      <c r="D658" s="1"/>
      <c r="E658" s="1"/>
      <c r="F658" s="1"/>
      <c r="G658" s="1"/>
      <c r="I658" s="1"/>
      <c r="J658" s="1"/>
    </row>
    <row r="659">
      <c r="A659" s="1"/>
      <c r="B659" s="1"/>
      <c r="C659" s="75"/>
      <c r="D659" s="1"/>
      <c r="E659" s="1"/>
      <c r="F659" s="1"/>
      <c r="G659" s="1"/>
      <c r="I659" s="1"/>
      <c r="J659" s="1"/>
    </row>
    <row r="660">
      <c r="A660" s="1"/>
      <c r="B660" s="1"/>
      <c r="C660" s="75"/>
      <c r="D660" s="1"/>
      <c r="E660" s="1"/>
      <c r="F660" s="1"/>
      <c r="G660" s="1"/>
      <c r="I660" s="1"/>
      <c r="J660" s="1"/>
    </row>
    <row r="661">
      <c r="A661" s="1"/>
      <c r="B661" s="1"/>
      <c r="C661" s="75"/>
      <c r="D661" s="1"/>
      <c r="E661" s="1"/>
      <c r="F661" s="1"/>
      <c r="G661" s="1"/>
      <c r="I661" s="1"/>
      <c r="J661" s="1"/>
    </row>
    <row r="662">
      <c r="A662" s="1"/>
      <c r="B662" s="1"/>
      <c r="C662" s="75"/>
      <c r="D662" s="1"/>
      <c r="E662" s="1"/>
      <c r="F662" s="1"/>
      <c r="G662" s="1"/>
      <c r="I662" s="1"/>
      <c r="J662" s="1"/>
    </row>
    <row r="663">
      <c r="A663" s="1"/>
      <c r="B663" s="1"/>
      <c r="C663" s="75"/>
      <c r="D663" s="1"/>
      <c r="E663" s="1"/>
      <c r="F663" s="1"/>
      <c r="G663" s="1"/>
      <c r="I663" s="1"/>
      <c r="J663" s="1"/>
    </row>
    <row r="664">
      <c r="A664" s="1"/>
      <c r="B664" s="1"/>
      <c r="C664" s="75"/>
      <c r="D664" s="1"/>
      <c r="E664" s="1"/>
      <c r="F664" s="1"/>
      <c r="G664" s="1"/>
      <c r="I664" s="1"/>
      <c r="J664" s="1"/>
    </row>
    <row r="665">
      <c r="A665" s="1"/>
      <c r="B665" s="1"/>
      <c r="C665" s="75"/>
      <c r="D665" s="1"/>
      <c r="E665" s="1"/>
      <c r="F665" s="1"/>
      <c r="G665" s="1"/>
      <c r="I665" s="1"/>
      <c r="J665" s="1"/>
    </row>
    <row r="666">
      <c r="A666" s="1"/>
      <c r="B666" s="1"/>
      <c r="C666" s="75"/>
      <c r="D666" s="1"/>
      <c r="E666" s="1"/>
      <c r="F666" s="1"/>
      <c r="G666" s="1"/>
      <c r="I666" s="1"/>
      <c r="J666" s="1"/>
    </row>
    <row r="667">
      <c r="A667" s="1"/>
      <c r="B667" s="1"/>
      <c r="C667" s="75"/>
      <c r="D667" s="1"/>
      <c r="E667" s="1"/>
      <c r="F667" s="1"/>
      <c r="G667" s="1"/>
      <c r="I667" s="1"/>
      <c r="J667" s="1"/>
    </row>
    <row r="668">
      <c r="A668" s="1"/>
      <c r="B668" s="1"/>
      <c r="C668" s="75"/>
      <c r="D668" s="1"/>
      <c r="E668" s="1"/>
      <c r="F668" s="1"/>
      <c r="G668" s="1"/>
      <c r="I668" s="1"/>
      <c r="J668" s="1"/>
    </row>
    <row r="669">
      <c r="A669" s="1"/>
      <c r="B669" s="1"/>
      <c r="C669" s="75"/>
      <c r="D669" s="1"/>
      <c r="E669" s="1"/>
      <c r="F669" s="1"/>
      <c r="G669" s="1"/>
      <c r="I669" s="1"/>
      <c r="J669" s="1"/>
    </row>
    <row r="670">
      <c r="A670" s="1"/>
      <c r="B670" s="1"/>
      <c r="C670" s="75"/>
      <c r="D670" s="1"/>
      <c r="E670" s="1"/>
      <c r="F670" s="1"/>
      <c r="G670" s="1"/>
      <c r="I670" s="1"/>
      <c r="J670" s="1"/>
    </row>
    <row r="671">
      <c r="A671" s="1"/>
      <c r="B671" s="1"/>
      <c r="C671" s="75"/>
      <c r="D671" s="1"/>
      <c r="E671" s="1"/>
      <c r="F671" s="1"/>
      <c r="G671" s="1"/>
      <c r="I671" s="1"/>
      <c r="J671" s="1"/>
    </row>
    <row r="672">
      <c r="A672" s="1"/>
      <c r="B672" s="1"/>
      <c r="C672" s="75"/>
      <c r="D672" s="1"/>
      <c r="E672" s="1"/>
      <c r="F672" s="1"/>
      <c r="G672" s="1"/>
      <c r="I672" s="1"/>
      <c r="J672" s="1"/>
    </row>
    <row r="673">
      <c r="A673" s="1"/>
      <c r="B673" s="1"/>
      <c r="C673" s="75"/>
      <c r="D673" s="1"/>
      <c r="E673" s="1"/>
      <c r="F673" s="1"/>
      <c r="G673" s="1"/>
      <c r="I673" s="1"/>
      <c r="J673" s="1"/>
    </row>
    <row r="674">
      <c r="A674" s="1"/>
      <c r="B674" s="1"/>
      <c r="C674" s="75"/>
      <c r="D674" s="1"/>
      <c r="E674" s="1"/>
      <c r="F674" s="1"/>
      <c r="G674" s="1"/>
      <c r="I674" s="1"/>
      <c r="J674" s="1"/>
    </row>
    <row r="675">
      <c r="A675" s="1"/>
      <c r="B675" s="1"/>
      <c r="C675" s="75"/>
      <c r="D675" s="1"/>
      <c r="E675" s="1"/>
      <c r="F675" s="1"/>
      <c r="G675" s="1"/>
      <c r="I675" s="1"/>
      <c r="J675" s="1"/>
    </row>
    <row r="676">
      <c r="A676" s="1"/>
      <c r="B676" s="1"/>
      <c r="C676" s="75"/>
      <c r="D676" s="1"/>
      <c r="E676" s="1"/>
      <c r="F676" s="1"/>
      <c r="G676" s="1"/>
      <c r="I676" s="1"/>
      <c r="J676" s="1"/>
    </row>
    <row r="677">
      <c r="A677" s="1"/>
      <c r="B677" s="1"/>
      <c r="C677" s="75"/>
      <c r="D677" s="1"/>
      <c r="E677" s="1"/>
      <c r="F677" s="1"/>
      <c r="G677" s="1"/>
      <c r="I677" s="1"/>
      <c r="J677" s="1"/>
    </row>
    <row r="678">
      <c r="A678" s="1"/>
      <c r="B678" s="1"/>
      <c r="C678" s="75"/>
      <c r="D678" s="1"/>
      <c r="E678" s="1"/>
      <c r="F678" s="1"/>
      <c r="G678" s="1"/>
      <c r="I678" s="1"/>
      <c r="J678" s="1"/>
    </row>
    <row r="679">
      <c r="A679" s="1"/>
      <c r="B679" s="1"/>
      <c r="C679" s="75"/>
      <c r="D679" s="1"/>
      <c r="E679" s="1"/>
      <c r="F679" s="1"/>
      <c r="G679" s="1"/>
      <c r="I679" s="1"/>
      <c r="J679" s="1"/>
    </row>
    <row r="680">
      <c r="A680" s="1"/>
      <c r="B680" s="1"/>
      <c r="C680" s="75"/>
      <c r="D680" s="1"/>
      <c r="E680" s="1"/>
      <c r="F680" s="1"/>
      <c r="G680" s="1"/>
      <c r="I680" s="1"/>
      <c r="J680" s="1"/>
    </row>
    <row r="681">
      <c r="A681" s="1"/>
      <c r="B681" s="1"/>
      <c r="C681" s="75"/>
      <c r="D681" s="1"/>
      <c r="E681" s="1"/>
      <c r="F681" s="1"/>
      <c r="G681" s="1"/>
      <c r="I681" s="1"/>
      <c r="J681" s="1"/>
    </row>
    <row r="682">
      <c r="A682" s="1"/>
      <c r="B682" s="1"/>
      <c r="C682" s="75"/>
      <c r="D682" s="1"/>
      <c r="E682" s="1"/>
      <c r="F682" s="1"/>
      <c r="G682" s="1"/>
      <c r="I682" s="1"/>
      <c r="J682" s="1"/>
    </row>
    <row r="683">
      <c r="A683" s="1"/>
      <c r="B683" s="1"/>
      <c r="C683" s="75"/>
      <c r="D683" s="1"/>
      <c r="E683" s="1"/>
      <c r="F683" s="1"/>
      <c r="G683" s="1"/>
      <c r="I683" s="1"/>
      <c r="J683" s="1"/>
    </row>
    <row r="684">
      <c r="A684" s="1"/>
      <c r="B684" s="1"/>
      <c r="C684" s="75"/>
      <c r="D684" s="1"/>
      <c r="E684" s="1"/>
      <c r="F684" s="1"/>
      <c r="G684" s="1"/>
      <c r="I684" s="1"/>
      <c r="J684" s="1"/>
    </row>
    <row r="685">
      <c r="A685" s="1"/>
      <c r="B685" s="1"/>
      <c r="C685" s="75"/>
      <c r="D685" s="1"/>
      <c r="E685" s="1"/>
      <c r="F685" s="1"/>
      <c r="G685" s="1"/>
      <c r="I685" s="1"/>
      <c r="J685" s="1"/>
    </row>
    <row r="686">
      <c r="A686" s="1"/>
      <c r="B686" s="1"/>
      <c r="C686" s="75"/>
      <c r="D686" s="1"/>
      <c r="E686" s="1"/>
      <c r="F686" s="1"/>
      <c r="G686" s="1"/>
      <c r="I686" s="1"/>
      <c r="J686" s="1"/>
    </row>
    <row r="687">
      <c r="A687" s="1"/>
      <c r="B687" s="1"/>
      <c r="C687" s="75"/>
      <c r="D687" s="1"/>
      <c r="E687" s="1"/>
      <c r="F687" s="1"/>
      <c r="G687" s="1"/>
      <c r="I687" s="1"/>
      <c r="J687" s="1"/>
    </row>
    <row r="688">
      <c r="A688" s="1"/>
      <c r="B688" s="1"/>
      <c r="C688" s="75"/>
      <c r="D688" s="1"/>
      <c r="E688" s="1"/>
      <c r="F688" s="1"/>
      <c r="G688" s="1"/>
      <c r="I688" s="1"/>
      <c r="J688" s="1"/>
    </row>
    <row r="689">
      <c r="A689" s="1"/>
      <c r="B689" s="1"/>
      <c r="C689" s="75"/>
      <c r="D689" s="1"/>
      <c r="E689" s="1"/>
      <c r="F689" s="1"/>
      <c r="G689" s="1"/>
      <c r="I689" s="1"/>
      <c r="J689" s="1"/>
    </row>
    <row r="690">
      <c r="A690" s="1"/>
      <c r="B690" s="1"/>
      <c r="C690" s="75"/>
      <c r="D690" s="1"/>
      <c r="E690" s="1"/>
      <c r="F690" s="1"/>
      <c r="G690" s="1"/>
      <c r="I690" s="1"/>
      <c r="J690" s="1"/>
    </row>
    <row r="691">
      <c r="A691" s="1"/>
      <c r="B691" s="1"/>
      <c r="C691" s="75"/>
      <c r="D691" s="1"/>
      <c r="E691" s="1"/>
      <c r="F691" s="1"/>
      <c r="G691" s="1"/>
      <c r="I691" s="1"/>
      <c r="J691" s="1"/>
    </row>
    <row r="692">
      <c r="A692" s="1"/>
      <c r="B692" s="1"/>
      <c r="C692" s="75"/>
      <c r="D692" s="1"/>
      <c r="E692" s="1"/>
      <c r="F692" s="1"/>
      <c r="G692" s="1"/>
      <c r="I692" s="1"/>
      <c r="J692" s="1"/>
    </row>
    <row r="693">
      <c r="A693" s="1"/>
      <c r="B693" s="1"/>
      <c r="C693" s="75"/>
      <c r="D693" s="1"/>
      <c r="E693" s="1"/>
      <c r="F693" s="1"/>
      <c r="G693" s="1"/>
      <c r="I693" s="1"/>
      <c r="J693" s="1"/>
    </row>
    <row r="694">
      <c r="A694" s="1"/>
      <c r="B694" s="1"/>
      <c r="C694" s="75"/>
      <c r="D694" s="1"/>
      <c r="E694" s="1"/>
      <c r="F694" s="1"/>
      <c r="G694" s="1"/>
      <c r="I694" s="1"/>
      <c r="J694" s="1"/>
    </row>
    <row r="695">
      <c r="A695" s="1"/>
      <c r="B695" s="1"/>
      <c r="C695" s="75"/>
      <c r="D695" s="1"/>
      <c r="E695" s="1"/>
      <c r="F695" s="1"/>
      <c r="G695" s="1"/>
      <c r="I695" s="1"/>
      <c r="J695" s="1"/>
    </row>
    <row r="696">
      <c r="A696" s="1"/>
      <c r="B696" s="1"/>
      <c r="C696" s="75"/>
      <c r="D696" s="1"/>
      <c r="E696" s="1"/>
      <c r="F696" s="1"/>
      <c r="G696" s="1"/>
      <c r="I696" s="1"/>
      <c r="J696" s="1"/>
    </row>
    <row r="697">
      <c r="A697" s="1"/>
      <c r="B697" s="1"/>
      <c r="C697" s="75"/>
      <c r="D697" s="1"/>
      <c r="E697" s="1"/>
      <c r="F697" s="1"/>
      <c r="G697" s="1"/>
      <c r="I697" s="1"/>
      <c r="J697" s="1"/>
    </row>
    <row r="698">
      <c r="A698" s="1"/>
      <c r="B698" s="1"/>
      <c r="C698" s="75"/>
      <c r="D698" s="1"/>
      <c r="E698" s="1"/>
      <c r="F698" s="1"/>
      <c r="G698" s="1"/>
      <c r="I698" s="1"/>
      <c r="J698" s="1"/>
    </row>
    <row r="699">
      <c r="A699" s="1"/>
      <c r="B699" s="1"/>
      <c r="C699" s="75"/>
      <c r="D699" s="1"/>
      <c r="E699" s="1"/>
      <c r="F699" s="1"/>
      <c r="G699" s="1"/>
      <c r="I699" s="1"/>
      <c r="J699" s="1"/>
    </row>
    <row r="700">
      <c r="A700" s="1"/>
      <c r="B700" s="1"/>
      <c r="C700" s="75"/>
      <c r="D700" s="1"/>
      <c r="E700" s="1"/>
      <c r="F700" s="1"/>
      <c r="G700" s="1"/>
      <c r="I700" s="1"/>
      <c r="J700" s="1"/>
    </row>
    <row r="701">
      <c r="A701" s="1"/>
      <c r="B701" s="1"/>
      <c r="C701" s="75"/>
      <c r="D701" s="1"/>
      <c r="E701" s="1"/>
      <c r="F701" s="1"/>
      <c r="G701" s="1"/>
      <c r="I701" s="1"/>
      <c r="J701" s="1"/>
    </row>
    <row r="702">
      <c r="A702" s="1"/>
      <c r="B702" s="1"/>
      <c r="C702" s="75"/>
      <c r="D702" s="1"/>
      <c r="E702" s="1"/>
      <c r="F702" s="1"/>
      <c r="G702" s="1"/>
      <c r="I702" s="1"/>
      <c r="J702" s="1"/>
    </row>
    <row r="703">
      <c r="A703" s="1"/>
      <c r="B703" s="1"/>
      <c r="C703" s="75"/>
      <c r="D703" s="1"/>
      <c r="E703" s="1"/>
      <c r="F703" s="1"/>
      <c r="G703" s="1"/>
      <c r="I703" s="1"/>
      <c r="J703" s="1"/>
    </row>
    <row r="704">
      <c r="A704" s="1"/>
      <c r="B704" s="1"/>
      <c r="C704" s="75"/>
      <c r="D704" s="1"/>
      <c r="E704" s="1"/>
      <c r="F704" s="1"/>
      <c r="G704" s="1"/>
      <c r="I704" s="1"/>
      <c r="J704" s="1"/>
    </row>
    <row r="705">
      <c r="A705" s="1"/>
      <c r="B705" s="1"/>
      <c r="C705" s="75"/>
      <c r="D705" s="1"/>
      <c r="E705" s="1"/>
      <c r="F705" s="1"/>
      <c r="G705" s="1"/>
      <c r="I705" s="1"/>
      <c r="J705" s="1"/>
    </row>
    <row r="706">
      <c r="A706" s="1"/>
      <c r="B706" s="1"/>
      <c r="C706" s="75"/>
      <c r="D706" s="1"/>
      <c r="E706" s="1"/>
      <c r="F706" s="1"/>
      <c r="G706" s="1"/>
      <c r="I706" s="1"/>
      <c r="J706" s="1"/>
    </row>
    <row r="707">
      <c r="A707" s="1"/>
      <c r="B707" s="1"/>
      <c r="C707" s="75"/>
      <c r="D707" s="1"/>
      <c r="E707" s="1"/>
      <c r="F707" s="1"/>
      <c r="G707" s="1"/>
      <c r="I707" s="1"/>
      <c r="J707" s="1"/>
    </row>
    <row r="708">
      <c r="A708" s="1"/>
      <c r="B708" s="1"/>
      <c r="C708" s="75"/>
      <c r="D708" s="1"/>
      <c r="E708" s="1"/>
      <c r="F708" s="1"/>
      <c r="G708" s="1"/>
      <c r="I708" s="1"/>
      <c r="J708" s="1"/>
    </row>
    <row r="709">
      <c r="A709" s="1"/>
      <c r="B709" s="1"/>
      <c r="C709" s="75"/>
      <c r="D709" s="1"/>
      <c r="E709" s="1"/>
      <c r="F709" s="1"/>
      <c r="G709" s="1"/>
      <c r="I709" s="1"/>
      <c r="J709" s="1"/>
    </row>
    <row r="710">
      <c r="A710" s="1"/>
      <c r="B710" s="1"/>
      <c r="C710" s="75"/>
      <c r="D710" s="1"/>
      <c r="E710" s="1"/>
      <c r="F710" s="1"/>
      <c r="G710" s="1"/>
      <c r="I710" s="1"/>
      <c r="J710" s="1"/>
    </row>
    <row r="711">
      <c r="A711" s="1"/>
      <c r="B711" s="1"/>
      <c r="C711" s="75"/>
      <c r="D711" s="1"/>
      <c r="E711" s="1"/>
      <c r="F711" s="1"/>
      <c r="G711" s="1"/>
      <c r="I711" s="1"/>
      <c r="J711" s="1"/>
    </row>
    <row r="712">
      <c r="A712" s="1"/>
      <c r="B712" s="1"/>
      <c r="C712" s="75"/>
      <c r="D712" s="1"/>
      <c r="E712" s="1"/>
      <c r="F712" s="1"/>
      <c r="G712" s="1"/>
      <c r="I712" s="1"/>
      <c r="J712" s="1"/>
    </row>
    <row r="713">
      <c r="A713" s="1"/>
      <c r="B713" s="1"/>
      <c r="C713" s="75"/>
      <c r="D713" s="1"/>
      <c r="E713" s="1"/>
      <c r="F713" s="1"/>
      <c r="G713" s="1"/>
      <c r="I713" s="1"/>
      <c r="J713" s="1"/>
    </row>
    <row r="714">
      <c r="A714" s="1"/>
      <c r="B714" s="1"/>
      <c r="C714" s="75"/>
      <c r="D714" s="1"/>
      <c r="E714" s="1"/>
      <c r="F714" s="1"/>
      <c r="G714" s="1"/>
      <c r="I714" s="1"/>
      <c r="J714" s="1"/>
    </row>
    <row r="715">
      <c r="A715" s="1"/>
      <c r="B715" s="1"/>
      <c r="C715" s="75"/>
      <c r="D715" s="1"/>
      <c r="E715" s="1"/>
      <c r="F715" s="1"/>
      <c r="G715" s="1"/>
      <c r="I715" s="1"/>
      <c r="J715" s="1"/>
    </row>
    <row r="716">
      <c r="A716" s="1"/>
      <c r="B716" s="1"/>
      <c r="C716" s="75"/>
      <c r="D716" s="1"/>
      <c r="E716" s="1"/>
      <c r="F716" s="1"/>
      <c r="G716" s="1"/>
      <c r="I716" s="1"/>
      <c r="J716" s="1"/>
    </row>
    <row r="717">
      <c r="A717" s="1"/>
      <c r="B717" s="1"/>
      <c r="C717" s="75"/>
      <c r="D717" s="1"/>
      <c r="E717" s="1"/>
      <c r="F717" s="1"/>
      <c r="G717" s="1"/>
      <c r="I717" s="1"/>
      <c r="J717" s="1"/>
    </row>
    <row r="718">
      <c r="A718" s="1"/>
      <c r="B718" s="1"/>
      <c r="C718" s="75"/>
      <c r="D718" s="1"/>
      <c r="E718" s="1"/>
      <c r="F718" s="1"/>
      <c r="G718" s="1"/>
      <c r="I718" s="1"/>
      <c r="J718" s="1"/>
    </row>
    <row r="719">
      <c r="A719" s="1"/>
      <c r="B719" s="1"/>
      <c r="C719" s="75"/>
      <c r="D719" s="1"/>
      <c r="E719" s="1"/>
      <c r="F719" s="1"/>
      <c r="G719" s="1"/>
      <c r="I719" s="1"/>
      <c r="J719" s="1"/>
    </row>
    <row r="720">
      <c r="A720" s="1"/>
      <c r="B720" s="1"/>
      <c r="C720" s="75"/>
      <c r="D720" s="1"/>
      <c r="E720" s="1"/>
      <c r="F720" s="1"/>
      <c r="G720" s="1"/>
      <c r="I720" s="1"/>
      <c r="J720" s="1"/>
    </row>
    <row r="721">
      <c r="A721" s="1"/>
      <c r="B721" s="1"/>
      <c r="C721" s="75"/>
      <c r="D721" s="1"/>
      <c r="E721" s="1"/>
      <c r="F721" s="1"/>
      <c r="G721" s="1"/>
      <c r="I721" s="1"/>
      <c r="J721" s="1"/>
    </row>
    <row r="722">
      <c r="A722" s="1"/>
      <c r="B722" s="1"/>
      <c r="C722" s="75"/>
      <c r="D722" s="1"/>
      <c r="E722" s="1"/>
      <c r="F722" s="1"/>
      <c r="G722" s="1"/>
      <c r="I722" s="1"/>
      <c r="J722" s="1"/>
    </row>
    <row r="723">
      <c r="A723" s="1"/>
      <c r="B723" s="1"/>
      <c r="C723" s="75"/>
      <c r="D723" s="1"/>
      <c r="E723" s="1"/>
      <c r="F723" s="1"/>
      <c r="G723" s="1"/>
      <c r="I723" s="1"/>
      <c r="J723" s="1"/>
    </row>
    <row r="724">
      <c r="A724" s="1"/>
      <c r="B724" s="1"/>
      <c r="C724" s="75"/>
      <c r="D724" s="1"/>
      <c r="E724" s="1"/>
      <c r="F724" s="1"/>
      <c r="G724" s="1"/>
      <c r="I724" s="1"/>
      <c r="J724" s="1"/>
    </row>
    <row r="725">
      <c r="A725" s="1"/>
      <c r="B725" s="1"/>
      <c r="C725" s="75"/>
      <c r="D725" s="1"/>
      <c r="E725" s="1"/>
      <c r="F725" s="1"/>
      <c r="G725" s="1"/>
      <c r="I725" s="1"/>
      <c r="J725" s="1"/>
    </row>
    <row r="726">
      <c r="A726" s="1"/>
      <c r="B726" s="1"/>
      <c r="C726" s="75"/>
      <c r="D726" s="1"/>
      <c r="E726" s="1"/>
      <c r="F726" s="1"/>
      <c r="G726" s="1"/>
      <c r="I726" s="1"/>
      <c r="J726" s="1"/>
    </row>
    <row r="727">
      <c r="A727" s="1"/>
      <c r="B727" s="1"/>
      <c r="C727" s="75"/>
      <c r="D727" s="1"/>
      <c r="E727" s="1"/>
      <c r="F727" s="1"/>
      <c r="G727" s="1"/>
      <c r="I727" s="1"/>
      <c r="J727" s="1"/>
    </row>
    <row r="728">
      <c r="A728" s="1"/>
      <c r="B728" s="1"/>
      <c r="C728" s="75"/>
      <c r="D728" s="1"/>
      <c r="E728" s="1"/>
      <c r="F728" s="1"/>
      <c r="G728" s="1"/>
      <c r="I728" s="1"/>
      <c r="J728" s="1"/>
    </row>
    <row r="729">
      <c r="A729" s="1"/>
      <c r="B729" s="1"/>
      <c r="C729" s="75"/>
      <c r="D729" s="1"/>
      <c r="E729" s="1"/>
      <c r="F729" s="1"/>
      <c r="G729" s="1"/>
      <c r="I729" s="1"/>
      <c r="J729" s="1"/>
    </row>
    <row r="730">
      <c r="A730" s="1"/>
      <c r="B730" s="1"/>
      <c r="C730" s="75"/>
      <c r="D730" s="1"/>
      <c r="E730" s="1"/>
      <c r="F730" s="1"/>
      <c r="G730" s="1"/>
      <c r="I730" s="1"/>
      <c r="J730" s="1"/>
    </row>
    <row r="731">
      <c r="A731" s="1"/>
      <c r="B731" s="1"/>
      <c r="C731" s="75"/>
      <c r="D731" s="1"/>
      <c r="E731" s="1"/>
      <c r="F731" s="1"/>
      <c r="G731" s="1"/>
      <c r="I731" s="1"/>
      <c r="J731" s="1"/>
    </row>
    <row r="732">
      <c r="A732" s="1"/>
      <c r="B732" s="1"/>
      <c r="C732" s="75"/>
      <c r="D732" s="1"/>
      <c r="E732" s="1"/>
      <c r="F732" s="1"/>
      <c r="G732" s="1"/>
      <c r="I732" s="1"/>
      <c r="J732" s="1"/>
    </row>
    <row r="733">
      <c r="A733" s="1"/>
      <c r="B733" s="1"/>
      <c r="C733" s="75"/>
      <c r="D733" s="1"/>
      <c r="E733" s="1"/>
      <c r="F733" s="1"/>
      <c r="G733" s="1"/>
      <c r="I733" s="1"/>
      <c r="J733" s="1"/>
    </row>
    <row r="734">
      <c r="A734" s="1"/>
      <c r="B734" s="1"/>
      <c r="C734" s="75"/>
      <c r="D734" s="1"/>
      <c r="E734" s="1"/>
      <c r="F734" s="1"/>
      <c r="G734" s="1"/>
      <c r="I734" s="1"/>
      <c r="J734" s="1"/>
    </row>
    <row r="735">
      <c r="A735" s="1"/>
      <c r="B735" s="1"/>
      <c r="C735" s="75"/>
      <c r="D735" s="1"/>
      <c r="E735" s="1"/>
      <c r="F735" s="1"/>
      <c r="G735" s="1"/>
      <c r="I735" s="1"/>
      <c r="J735" s="1"/>
    </row>
    <row r="736">
      <c r="A736" s="1"/>
      <c r="B736" s="1"/>
      <c r="C736" s="75"/>
      <c r="D736" s="1"/>
      <c r="E736" s="1"/>
      <c r="F736" s="1"/>
      <c r="G736" s="1"/>
      <c r="I736" s="1"/>
      <c r="J736" s="1"/>
    </row>
    <row r="737">
      <c r="A737" s="1"/>
      <c r="B737" s="1"/>
      <c r="C737" s="75"/>
      <c r="D737" s="1"/>
      <c r="E737" s="1"/>
      <c r="F737" s="1"/>
      <c r="G737" s="1"/>
      <c r="I737" s="1"/>
      <c r="J737" s="1"/>
    </row>
    <row r="738">
      <c r="A738" s="1"/>
      <c r="B738" s="1"/>
      <c r="C738" s="75"/>
      <c r="D738" s="1"/>
      <c r="E738" s="1"/>
      <c r="F738" s="1"/>
      <c r="G738" s="1"/>
      <c r="I738" s="1"/>
      <c r="J738" s="1"/>
    </row>
    <row r="739">
      <c r="A739" s="1"/>
      <c r="B739" s="1"/>
      <c r="C739" s="75"/>
      <c r="D739" s="1"/>
      <c r="E739" s="1"/>
      <c r="F739" s="1"/>
      <c r="G739" s="1"/>
      <c r="I739" s="1"/>
      <c r="J739" s="1"/>
    </row>
    <row r="740">
      <c r="A740" s="1"/>
      <c r="B740" s="1"/>
      <c r="C740" s="75"/>
      <c r="D740" s="1"/>
      <c r="E740" s="1"/>
      <c r="F740" s="1"/>
      <c r="G740" s="1"/>
      <c r="I740" s="1"/>
      <c r="J740" s="1"/>
    </row>
    <row r="741">
      <c r="A741" s="1"/>
      <c r="B741" s="1"/>
      <c r="C741" s="75"/>
      <c r="D741" s="1"/>
      <c r="E741" s="1"/>
      <c r="F741" s="1"/>
      <c r="G741" s="1"/>
      <c r="I741" s="1"/>
      <c r="J741" s="1"/>
    </row>
    <row r="742">
      <c r="A742" s="1"/>
      <c r="B742" s="1"/>
      <c r="C742" s="75"/>
      <c r="D742" s="1"/>
      <c r="E742" s="1"/>
      <c r="F742" s="1"/>
      <c r="G742" s="1"/>
      <c r="I742" s="1"/>
      <c r="J742" s="1"/>
    </row>
    <row r="743">
      <c r="A743" s="1"/>
      <c r="B743" s="1"/>
      <c r="C743" s="75"/>
      <c r="D743" s="1"/>
      <c r="E743" s="1"/>
      <c r="F743" s="1"/>
      <c r="G743" s="1"/>
      <c r="I743" s="1"/>
      <c r="J743" s="1"/>
    </row>
    <row r="744">
      <c r="A744" s="1"/>
      <c r="B744" s="1"/>
      <c r="C744" s="75"/>
      <c r="D744" s="1"/>
      <c r="E744" s="1"/>
      <c r="F744" s="1"/>
      <c r="G744" s="1"/>
      <c r="I744" s="1"/>
      <c r="J744" s="1"/>
    </row>
    <row r="745">
      <c r="A745" s="1"/>
      <c r="B745" s="1"/>
      <c r="C745" s="75"/>
      <c r="D745" s="1"/>
      <c r="E745" s="1"/>
      <c r="F745" s="1"/>
      <c r="G745" s="1"/>
      <c r="I745" s="1"/>
      <c r="J745" s="1"/>
    </row>
    <row r="746">
      <c r="A746" s="1"/>
      <c r="B746" s="1"/>
      <c r="C746" s="75"/>
      <c r="D746" s="1"/>
      <c r="E746" s="1"/>
      <c r="F746" s="1"/>
      <c r="G746" s="1"/>
      <c r="I746" s="1"/>
      <c r="J746" s="1"/>
    </row>
    <row r="747">
      <c r="A747" s="1"/>
      <c r="B747" s="1"/>
      <c r="C747" s="75"/>
      <c r="D747" s="1"/>
      <c r="E747" s="1"/>
      <c r="F747" s="1"/>
      <c r="G747" s="1"/>
      <c r="I747" s="1"/>
      <c r="J747" s="1"/>
    </row>
    <row r="748">
      <c r="A748" s="1"/>
      <c r="B748" s="1"/>
      <c r="C748" s="75"/>
      <c r="D748" s="1"/>
      <c r="E748" s="1"/>
      <c r="F748" s="1"/>
      <c r="G748" s="1"/>
      <c r="I748" s="1"/>
      <c r="J748" s="1"/>
    </row>
    <row r="749">
      <c r="A749" s="1"/>
      <c r="B749" s="1"/>
      <c r="C749" s="75"/>
      <c r="D749" s="1"/>
      <c r="E749" s="1"/>
      <c r="F749" s="1"/>
      <c r="G749" s="1"/>
      <c r="I749" s="1"/>
      <c r="J749" s="1"/>
    </row>
    <row r="750">
      <c r="A750" s="1"/>
      <c r="B750" s="1"/>
      <c r="C750" s="75"/>
      <c r="D750" s="1"/>
      <c r="E750" s="1"/>
      <c r="F750" s="1"/>
      <c r="G750" s="1"/>
      <c r="I750" s="1"/>
      <c r="J750" s="1"/>
    </row>
    <row r="751">
      <c r="A751" s="1"/>
      <c r="B751" s="1"/>
      <c r="C751" s="75"/>
      <c r="D751" s="1"/>
      <c r="E751" s="1"/>
      <c r="F751" s="1"/>
      <c r="G751" s="1"/>
      <c r="I751" s="1"/>
      <c r="J751" s="1"/>
    </row>
    <row r="752">
      <c r="A752" s="1"/>
      <c r="B752" s="1"/>
      <c r="C752" s="75"/>
      <c r="D752" s="1"/>
      <c r="E752" s="1"/>
      <c r="F752" s="1"/>
      <c r="G752" s="1"/>
      <c r="I752" s="1"/>
      <c r="J752" s="1"/>
    </row>
    <row r="753">
      <c r="A753" s="1"/>
      <c r="B753" s="1"/>
      <c r="C753" s="75"/>
      <c r="D753" s="1"/>
      <c r="E753" s="1"/>
      <c r="F753" s="1"/>
      <c r="G753" s="1"/>
      <c r="I753" s="1"/>
      <c r="J753" s="1"/>
    </row>
    <row r="754">
      <c r="A754" s="1"/>
      <c r="B754" s="1"/>
      <c r="C754" s="75"/>
      <c r="D754" s="1"/>
      <c r="E754" s="1"/>
      <c r="F754" s="1"/>
      <c r="G754" s="1"/>
      <c r="I754" s="1"/>
      <c r="J754" s="1"/>
    </row>
    <row r="755">
      <c r="A755" s="1"/>
      <c r="B755" s="1"/>
      <c r="C755" s="75"/>
      <c r="D755" s="1"/>
      <c r="E755" s="1"/>
      <c r="F755" s="1"/>
      <c r="G755" s="1"/>
      <c r="I755" s="1"/>
      <c r="J755" s="1"/>
    </row>
    <row r="756">
      <c r="A756" s="1"/>
      <c r="B756" s="1"/>
      <c r="C756" s="75"/>
      <c r="D756" s="1"/>
      <c r="E756" s="1"/>
      <c r="F756" s="1"/>
      <c r="G756" s="1"/>
      <c r="I756" s="1"/>
      <c r="J756" s="1"/>
    </row>
    <row r="757">
      <c r="A757" s="1"/>
      <c r="B757" s="1"/>
      <c r="C757" s="75"/>
      <c r="D757" s="1"/>
      <c r="E757" s="1"/>
      <c r="F757" s="1"/>
      <c r="G757" s="1"/>
      <c r="I757" s="1"/>
      <c r="J757" s="1"/>
    </row>
    <row r="758">
      <c r="A758" s="1"/>
      <c r="B758" s="1"/>
      <c r="C758" s="75"/>
      <c r="D758" s="1"/>
      <c r="E758" s="1"/>
      <c r="F758" s="1"/>
      <c r="G758" s="1"/>
      <c r="I758" s="1"/>
      <c r="J758" s="1"/>
    </row>
    <row r="759">
      <c r="A759" s="1"/>
      <c r="B759" s="1"/>
      <c r="C759" s="75"/>
      <c r="D759" s="1"/>
      <c r="E759" s="1"/>
      <c r="F759" s="1"/>
      <c r="G759" s="1"/>
      <c r="I759" s="1"/>
      <c r="J759" s="1"/>
    </row>
    <row r="760">
      <c r="A760" s="1"/>
      <c r="B760" s="1"/>
      <c r="C760" s="75"/>
      <c r="D760" s="1"/>
      <c r="E760" s="1"/>
      <c r="F760" s="1"/>
      <c r="G760" s="1"/>
      <c r="I760" s="1"/>
      <c r="J760" s="1"/>
    </row>
    <row r="761">
      <c r="A761" s="1"/>
      <c r="B761" s="1"/>
      <c r="C761" s="75"/>
      <c r="D761" s="1"/>
      <c r="E761" s="1"/>
      <c r="F761" s="1"/>
      <c r="G761" s="1"/>
      <c r="I761" s="1"/>
      <c r="J761" s="1"/>
    </row>
    <row r="762">
      <c r="A762" s="1"/>
      <c r="B762" s="1"/>
      <c r="C762" s="75"/>
      <c r="D762" s="1"/>
      <c r="E762" s="1"/>
      <c r="F762" s="1"/>
      <c r="G762" s="1"/>
      <c r="I762" s="1"/>
      <c r="J762" s="1"/>
    </row>
    <row r="763">
      <c r="A763" s="1"/>
      <c r="B763" s="1"/>
      <c r="C763" s="75"/>
      <c r="D763" s="1"/>
      <c r="E763" s="1"/>
      <c r="F763" s="1"/>
      <c r="G763" s="1"/>
      <c r="I763" s="1"/>
      <c r="J763" s="1"/>
    </row>
    <row r="764">
      <c r="A764" s="1"/>
      <c r="B764" s="1"/>
      <c r="C764" s="75"/>
      <c r="D764" s="1"/>
      <c r="E764" s="1"/>
      <c r="F764" s="1"/>
      <c r="G764" s="1"/>
      <c r="I764" s="1"/>
      <c r="J764" s="1"/>
    </row>
    <row r="765">
      <c r="A765" s="1"/>
      <c r="B765" s="1"/>
      <c r="C765" s="75"/>
      <c r="D765" s="1"/>
      <c r="E765" s="1"/>
      <c r="F765" s="1"/>
      <c r="G765" s="1"/>
      <c r="I765" s="1"/>
      <c r="J765" s="1"/>
    </row>
    <row r="766">
      <c r="A766" s="1"/>
      <c r="B766" s="1"/>
      <c r="C766" s="75"/>
      <c r="D766" s="1"/>
      <c r="E766" s="1"/>
      <c r="F766" s="1"/>
      <c r="G766" s="1"/>
      <c r="I766" s="1"/>
      <c r="J766" s="1"/>
    </row>
    <row r="767">
      <c r="A767" s="1"/>
      <c r="B767" s="1"/>
      <c r="C767" s="75"/>
      <c r="D767" s="1"/>
      <c r="E767" s="1"/>
      <c r="F767" s="1"/>
      <c r="G767" s="1"/>
      <c r="I767" s="1"/>
      <c r="J767" s="1"/>
    </row>
    <row r="768">
      <c r="A768" s="1"/>
      <c r="B768" s="1"/>
      <c r="C768" s="75"/>
      <c r="D768" s="1"/>
      <c r="E768" s="1"/>
      <c r="F768" s="1"/>
      <c r="G768" s="1"/>
      <c r="I768" s="1"/>
      <c r="J768" s="1"/>
    </row>
    <row r="769">
      <c r="A769" s="1"/>
      <c r="B769" s="1"/>
      <c r="C769" s="75"/>
      <c r="D769" s="1"/>
      <c r="E769" s="1"/>
      <c r="F769" s="1"/>
      <c r="G769" s="1"/>
      <c r="I769" s="1"/>
      <c r="J769" s="1"/>
    </row>
    <row r="770">
      <c r="A770" s="1"/>
      <c r="B770" s="1"/>
      <c r="C770" s="75"/>
      <c r="D770" s="1"/>
      <c r="E770" s="1"/>
      <c r="F770" s="1"/>
      <c r="G770" s="1"/>
      <c r="I770" s="1"/>
      <c r="J770" s="1"/>
    </row>
    <row r="771">
      <c r="A771" s="1"/>
      <c r="B771" s="1"/>
      <c r="C771" s="75"/>
      <c r="D771" s="1"/>
      <c r="E771" s="1"/>
      <c r="F771" s="1"/>
      <c r="G771" s="1"/>
      <c r="I771" s="1"/>
      <c r="J771" s="1"/>
    </row>
    <row r="772">
      <c r="A772" s="1"/>
      <c r="B772" s="1"/>
      <c r="C772" s="75"/>
      <c r="D772" s="1"/>
      <c r="E772" s="1"/>
      <c r="F772" s="1"/>
      <c r="G772" s="1"/>
      <c r="I772" s="1"/>
      <c r="J772" s="1"/>
    </row>
    <row r="773">
      <c r="A773" s="1"/>
      <c r="B773" s="1"/>
      <c r="C773" s="75"/>
      <c r="D773" s="1"/>
      <c r="E773" s="1"/>
      <c r="F773" s="1"/>
      <c r="G773" s="1"/>
      <c r="I773" s="1"/>
      <c r="J773" s="1"/>
    </row>
    <row r="774">
      <c r="A774" s="1"/>
      <c r="B774" s="1"/>
      <c r="C774" s="75"/>
      <c r="D774" s="1"/>
      <c r="E774" s="1"/>
      <c r="F774" s="1"/>
      <c r="G774" s="1"/>
      <c r="I774" s="1"/>
      <c r="J774" s="1"/>
    </row>
    <row r="775">
      <c r="A775" s="1"/>
      <c r="B775" s="1"/>
      <c r="C775" s="75"/>
      <c r="D775" s="1"/>
      <c r="E775" s="1"/>
      <c r="F775" s="1"/>
      <c r="G775" s="1"/>
      <c r="I775" s="1"/>
      <c r="J775" s="1"/>
    </row>
    <row r="776">
      <c r="A776" s="1"/>
      <c r="B776" s="1"/>
      <c r="C776" s="75"/>
      <c r="D776" s="1"/>
      <c r="E776" s="1"/>
      <c r="F776" s="1"/>
      <c r="G776" s="1"/>
      <c r="I776" s="1"/>
      <c r="J776" s="1"/>
    </row>
    <row r="777">
      <c r="A777" s="1"/>
      <c r="B777" s="1"/>
      <c r="C777" s="75"/>
      <c r="D777" s="1"/>
      <c r="E777" s="1"/>
      <c r="F777" s="1"/>
      <c r="G777" s="1"/>
      <c r="I777" s="1"/>
      <c r="J777" s="1"/>
    </row>
    <row r="778">
      <c r="A778" s="1"/>
      <c r="B778" s="1"/>
      <c r="C778" s="75"/>
      <c r="D778" s="1"/>
      <c r="E778" s="1"/>
      <c r="F778" s="1"/>
      <c r="G778" s="1"/>
      <c r="I778" s="1"/>
      <c r="J778" s="1"/>
    </row>
    <row r="779">
      <c r="A779" s="1"/>
      <c r="B779" s="1"/>
      <c r="C779" s="75"/>
      <c r="D779" s="1"/>
      <c r="E779" s="1"/>
      <c r="F779" s="1"/>
      <c r="G779" s="1"/>
      <c r="I779" s="1"/>
      <c r="J779" s="1"/>
    </row>
    <row r="780">
      <c r="A780" s="1"/>
      <c r="B780" s="1"/>
      <c r="C780" s="75"/>
      <c r="D780" s="1"/>
      <c r="E780" s="1"/>
      <c r="F780" s="1"/>
      <c r="G780" s="1"/>
      <c r="I780" s="1"/>
      <c r="J780" s="1"/>
    </row>
    <row r="781">
      <c r="A781" s="1"/>
      <c r="B781" s="1"/>
      <c r="C781" s="75"/>
      <c r="D781" s="1"/>
      <c r="E781" s="1"/>
      <c r="F781" s="1"/>
      <c r="G781" s="1"/>
      <c r="I781" s="1"/>
      <c r="J781" s="1"/>
    </row>
    <row r="782">
      <c r="A782" s="1"/>
      <c r="B782" s="1"/>
      <c r="C782" s="75"/>
      <c r="D782" s="1"/>
      <c r="E782" s="1"/>
      <c r="F782" s="1"/>
      <c r="G782" s="1"/>
      <c r="I782" s="1"/>
      <c r="J782" s="1"/>
    </row>
    <row r="783">
      <c r="A783" s="1"/>
      <c r="B783" s="1"/>
      <c r="C783" s="75"/>
      <c r="D783" s="1"/>
      <c r="E783" s="1"/>
      <c r="F783" s="1"/>
      <c r="G783" s="1"/>
      <c r="I783" s="1"/>
      <c r="J783" s="1"/>
    </row>
    <row r="784">
      <c r="A784" s="1"/>
      <c r="B784" s="1"/>
      <c r="C784" s="75"/>
      <c r="D784" s="1"/>
      <c r="E784" s="1"/>
      <c r="F784" s="1"/>
      <c r="G784" s="1"/>
      <c r="I784" s="1"/>
      <c r="J784" s="1"/>
    </row>
    <row r="785">
      <c r="A785" s="1"/>
      <c r="B785" s="1"/>
      <c r="C785" s="75"/>
      <c r="D785" s="1"/>
      <c r="E785" s="1"/>
      <c r="F785" s="1"/>
      <c r="G785" s="1"/>
      <c r="I785" s="1"/>
      <c r="J785" s="1"/>
    </row>
    <row r="786">
      <c r="A786" s="1"/>
      <c r="B786" s="1"/>
      <c r="C786" s="75"/>
      <c r="D786" s="1"/>
      <c r="E786" s="1"/>
      <c r="F786" s="1"/>
      <c r="G786" s="1"/>
      <c r="I786" s="1"/>
      <c r="J786" s="1"/>
    </row>
    <row r="787">
      <c r="A787" s="1"/>
      <c r="B787" s="1"/>
      <c r="C787" s="75"/>
      <c r="D787" s="1"/>
      <c r="E787" s="1"/>
      <c r="F787" s="1"/>
      <c r="G787" s="1"/>
      <c r="I787" s="1"/>
      <c r="J787" s="1"/>
    </row>
    <row r="788">
      <c r="A788" s="1"/>
      <c r="B788" s="1"/>
      <c r="C788" s="75"/>
      <c r="D788" s="1"/>
      <c r="E788" s="1"/>
      <c r="F788" s="1"/>
      <c r="G788" s="1"/>
      <c r="I788" s="1"/>
      <c r="J788" s="1"/>
    </row>
    <row r="789">
      <c r="A789" s="1"/>
      <c r="B789" s="1"/>
      <c r="C789" s="75"/>
      <c r="D789" s="1"/>
      <c r="E789" s="1"/>
      <c r="F789" s="1"/>
      <c r="G789" s="1"/>
      <c r="I789" s="1"/>
      <c r="J789" s="1"/>
    </row>
    <row r="790">
      <c r="A790" s="1"/>
      <c r="B790" s="1"/>
      <c r="C790" s="75"/>
      <c r="D790" s="1"/>
      <c r="E790" s="1"/>
      <c r="F790" s="1"/>
      <c r="G790" s="1"/>
      <c r="I790" s="1"/>
      <c r="J790" s="1"/>
    </row>
    <row r="791">
      <c r="A791" s="1"/>
      <c r="B791" s="1"/>
      <c r="C791" s="75"/>
      <c r="D791" s="1"/>
      <c r="E791" s="1"/>
      <c r="F791" s="1"/>
      <c r="G791" s="1"/>
      <c r="I791" s="1"/>
      <c r="J791" s="1"/>
    </row>
    <row r="792">
      <c r="A792" s="1"/>
      <c r="B792" s="1"/>
      <c r="C792" s="75"/>
      <c r="D792" s="1"/>
      <c r="E792" s="1"/>
      <c r="F792" s="1"/>
      <c r="G792" s="1"/>
      <c r="I792" s="1"/>
      <c r="J792" s="1"/>
    </row>
    <row r="793">
      <c r="A793" s="1"/>
      <c r="B793" s="1"/>
      <c r="C793" s="75"/>
      <c r="D793" s="1"/>
      <c r="E793" s="1"/>
      <c r="F793" s="1"/>
      <c r="G793" s="1"/>
      <c r="I793" s="1"/>
      <c r="J793" s="1"/>
    </row>
    <row r="794">
      <c r="A794" s="1"/>
      <c r="B794" s="1"/>
      <c r="C794" s="75"/>
      <c r="D794" s="1"/>
      <c r="E794" s="1"/>
      <c r="F794" s="1"/>
      <c r="G794" s="1"/>
      <c r="I794" s="1"/>
      <c r="J794" s="1"/>
    </row>
    <row r="795">
      <c r="A795" s="1"/>
      <c r="B795" s="1"/>
      <c r="C795" s="75"/>
      <c r="D795" s="1"/>
      <c r="E795" s="1"/>
      <c r="F795" s="1"/>
      <c r="G795" s="1"/>
      <c r="I795" s="1"/>
      <c r="J795" s="1"/>
    </row>
    <row r="796">
      <c r="A796" s="1"/>
      <c r="B796" s="1"/>
      <c r="C796" s="75"/>
      <c r="D796" s="1"/>
      <c r="E796" s="1"/>
      <c r="F796" s="1"/>
      <c r="G796" s="1"/>
      <c r="I796" s="1"/>
      <c r="J796" s="1"/>
    </row>
    <row r="797">
      <c r="A797" s="1"/>
      <c r="B797" s="1"/>
      <c r="C797" s="75"/>
      <c r="D797" s="1"/>
      <c r="E797" s="1"/>
      <c r="F797" s="1"/>
      <c r="G797" s="1"/>
      <c r="I797" s="1"/>
      <c r="J797" s="1"/>
    </row>
    <row r="798">
      <c r="A798" s="1"/>
      <c r="B798" s="1"/>
      <c r="C798" s="75"/>
      <c r="D798" s="1"/>
      <c r="E798" s="1"/>
      <c r="F798" s="1"/>
      <c r="G798" s="1"/>
      <c r="I798" s="1"/>
      <c r="J798" s="1"/>
    </row>
    <row r="799">
      <c r="A799" s="1"/>
      <c r="B799" s="1"/>
      <c r="C799" s="75"/>
      <c r="D799" s="1"/>
      <c r="E799" s="1"/>
      <c r="F799" s="1"/>
      <c r="G799" s="1"/>
      <c r="I799" s="1"/>
      <c r="J799" s="1"/>
    </row>
    <row r="800">
      <c r="A800" s="1"/>
      <c r="B800" s="1"/>
      <c r="C800" s="75"/>
      <c r="D800" s="1"/>
      <c r="E800" s="1"/>
      <c r="F800" s="1"/>
      <c r="G800" s="1"/>
      <c r="I800" s="1"/>
      <c r="J800" s="1"/>
    </row>
    <row r="801">
      <c r="A801" s="1"/>
      <c r="B801" s="1"/>
      <c r="C801" s="75"/>
      <c r="D801" s="1"/>
      <c r="E801" s="1"/>
      <c r="F801" s="1"/>
      <c r="G801" s="1"/>
      <c r="I801" s="1"/>
      <c r="J801" s="1"/>
    </row>
    <row r="802">
      <c r="A802" s="1"/>
      <c r="B802" s="1"/>
      <c r="C802" s="75"/>
      <c r="D802" s="1"/>
      <c r="E802" s="1"/>
      <c r="F802" s="1"/>
      <c r="G802" s="1"/>
      <c r="I802" s="1"/>
      <c r="J802" s="1"/>
    </row>
    <row r="803">
      <c r="A803" s="1"/>
      <c r="B803" s="1"/>
      <c r="C803" s="75"/>
      <c r="D803" s="1"/>
      <c r="E803" s="1"/>
      <c r="F803" s="1"/>
      <c r="G803" s="1"/>
      <c r="I803" s="1"/>
      <c r="J803" s="1"/>
    </row>
    <row r="804">
      <c r="A804" s="1"/>
      <c r="B804" s="1"/>
      <c r="C804" s="75"/>
      <c r="D804" s="1"/>
      <c r="E804" s="1"/>
      <c r="F804" s="1"/>
      <c r="G804" s="1"/>
      <c r="I804" s="1"/>
      <c r="J804" s="1"/>
    </row>
    <row r="805">
      <c r="A805" s="1"/>
      <c r="B805" s="1"/>
      <c r="C805" s="75"/>
      <c r="D805" s="1"/>
      <c r="E805" s="1"/>
      <c r="F805" s="1"/>
      <c r="G805" s="1"/>
      <c r="I805" s="1"/>
      <c r="J805" s="1"/>
    </row>
    <row r="806">
      <c r="A806" s="1"/>
      <c r="B806" s="1"/>
      <c r="C806" s="75"/>
      <c r="D806" s="1"/>
      <c r="E806" s="1"/>
      <c r="F806" s="1"/>
      <c r="G806" s="1"/>
      <c r="I806" s="1"/>
      <c r="J806" s="1"/>
    </row>
    <row r="807">
      <c r="A807" s="1"/>
      <c r="B807" s="1"/>
      <c r="C807" s="75"/>
      <c r="D807" s="1"/>
      <c r="E807" s="1"/>
      <c r="F807" s="1"/>
      <c r="G807" s="1"/>
      <c r="I807" s="1"/>
      <c r="J807" s="1"/>
    </row>
    <row r="808">
      <c r="A808" s="1"/>
      <c r="B808" s="1"/>
      <c r="C808" s="75"/>
      <c r="D808" s="1"/>
      <c r="E808" s="1"/>
      <c r="F808" s="1"/>
      <c r="G808" s="1"/>
      <c r="I808" s="1"/>
      <c r="J808" s="1"/>
    </row>
    <row r="809">
      <c r="A809" s="1"/>
      <c r="B809" s="1"/>
      <c r="C809" s="75"/>
      <c r="D809" s="1"/>
      <c r="E809" s="1"/>
      <c r="F809" s="1"/>
      <c r="G809" s="1"/>
      <c r="I809" s="1"/>
      <c r="J809" s="1"/>
    </row>
    <row r="810">
      <c r="A810" s="1"/>
      <c r="B810" s="1"/>
      <c r="C810" s="75"/>
      <c r="D810" s="1"/>
      <c r="E810" s="1"/>
      <c r="F810" s="1"/>
      <c r="G810" s="1"/>
      <c r="I810" s="1"/>
      <c r="J810" s="1"/>
    </row>
    <row r="811">
      <c r="A811" s="1"/>
      <c r="B811" s="1"/>
      <c r="C811" s="75"/>
      <c r="D811" s="1"/>
      <c r="E811" s="1"/>
      <c r="F811" s="1"/>
      <c r="G811" s="1"/>
      <c r="I811" s="1"/>
      <c r="J811" s="1"/>
    </row>
    <row r="812">
      <c r="A812" s="1"/>
      <c r="B812" s="1"/>
      <c r="C812" s="75"/>
      <c r="D812" s="1"/>
      <c r="E812" s="1"/>
      <c r="F812" s="1"/>
      <c r="G812" s="1"/>
      <c r="I812" s="1"/>
      <c r="J812" s="1"/>
    </row>
    <row r="813">
      <c r="A813" s="1"/>
      <c r="B813" s="1"/>
      <c r="C813" s="75"/>
      <c r="D813" s="1"/>
      <c r="E813" s="1"/>
      <c r="F813" s="1"/>
      <c r="G813" s="1"/>
      <c r="I813" s="1"/>
      <c r="J813" s="1"/>
    </row>
    <row r="814">
      <c r="A814" s="1"/>
      <c r="B814" s="1"/>
      <c r="C814" s="75"/>
      <c r="D814" s="1"/>
      <c r="E814" s="1"/>
      <c r="F814" s="1"/>
      <c r="G814" s="1"/>
      <c r="I814" s="1"/>
      <c r="J814" s="1"/>
    </row>
    <row r="815">
      <c r="A815" s="1"/>
      <c r="B815" s="1"/>
      <c r="C815" s="75"/>
      <c r="D815" s="1"/>
      <c r="E815" s="1"/>
      <c r="F815" s="1"/>
      <c r="G815" s="1"/>
      <c r="I815" s="1"/>
      <c r="J815" s="1"/>
    </row>
    <row r="816">
      <c r="A816" s="1"/>
      <c r="B816" s="1"/>
      <c r="C816" s="75"/>
      <c r="D816" s="1"/>
      <c r="E816" s="1"/>
      <c r="F816" s="1"/>
      <c r="G816" s="1"/>
      <c r="I816" s="1"/>
      <c r="J816" s="1"/>
    </row>
    <row r="817">
      <c r="A817" s="1"/>
      <c r="B817" s="1"/>
      <c r="C817" s="75"/>
      <c r="D817" s="1"/>
      <c r="E817" s="1"/>
      <c r="F817" s="1"/>
      <c r="G817" s="1"/>
      <c r="I817" s="1"/>
      <c r="J817" s="1"/>
    </row>
    <row r="818">
      <c r="A818" s="1"/>
      <c r="B818" s="1"/>
      <c r="C818" s="75"/>
      <c r="D818" s="1"/>
      <c r="E818" s="1"/>
      <c r="F818" s="1"/>
      <c r="G818" s="1"/>
      <c r="I818" s="1"/>
      <c r="J818" s="1"/>
    </row>
    <row r="819">
      <c r="A819" s="1"/>
      <c r="B819" s="1"/>
      <c r="C819" s="75"/>
      <c r="D819" s="1"/>
      <c r="E819" s="1"/>
      <c r="F819" s="1"/>
      <c r="G819" s="1"/>
      <c r="I819" s="1"/>
      <c r="J819" s="1"/>
    </row>
    <row r="820">
      <c r="A820" s="1"/>
      <c r="B820" s="1"/>
      <c r="C820" s="75"/>
      <c r="D820" s="1"/>
      <c r="E820" s="1"/>
      <c r="F820" s="1"/>
      <c r="G820" s="1"/>
      <c r="I820" s="1"/>
      <c r="J820" s="1"/>
    </row>
    <row r="821">
      <c r="A821" s="1"/>
      <c r="B821" s="1"/>
      <c r="C821" s="75"/>
      <c r="D821" s="1"/>
      <c r="E821" s="1"/>
      <c r="F821" s="1"/>
      <c r="G821" s="1"/>
      <c r="I821" s="1"/>
      <c r="J821" s="1"/>
    </row>
    <row r="822">
      <c r="A822" s="1"/>
      <c r="B822" s="1"/>
      <c r="C822" s="75"/>
      <c r="D822" s="1"/>
      <c r="E822" s="1"/>
      <c r="F822" s="1"/>
      <c r="G822" s="1"/>
      <c r="I822" s="1"/>
      <c r="J822" s="1"/>
    </row>
    <row r="823">
      <c r="A823" s="1"/>
      <c r="B823" s="1"/>
      <c r="C823" s="75"/>
      <c r="D823" s="1"/>
      <c r="E823" s="1"/>
      <c r="F823" s="1"/>
      <c r="G823" s="1"/>
      <c r="I823" s="1"/>
      <c r="J823" s="1"/>
    </row>
    <row r="824">
      <c r="A824" s="1"/>
      <c r="B824" s="1"/>
      <c r="C824" s="75"/>
      <c r="D824" s="1"/>
      <c r="E824" s="1"/>
      <c r="F824" s="1"/>
      <c r="G824" s="1"/>
      <c r="I824" s="1"/>
      <c r="J824" s="1"/>
    </row>
    <row r="825">
      <c r="A825" s="1"/>
      <c r="B825" s="1"/>
      <c r="C825" s="75"/>
      <c r="D825" s="1"/>
      <c r="E825" s="1"/>
      <c r="F825" s="1"/>
      <c r="G825" s="1"/>
      <c r="I825" s="1"/>
      <c r="J825" s="1"/>
    </row>
    <row r="826">
      <c r="A826" s="1"/>
      <c r="B826" s="1"/>
      <c r="C826" s="75"/>
      <c r="D826" s="1"/>
      <c r="E826" s="1"/>
      <c r="F826" s="1"/>
      <c r="G826" s="1"/>
      <c r="I826" s="1"/>
      <c r="J826" s="1"/>
    </row>
    <row r="827">
      <c r="A827" s="1"/>
      <c r="B827" s="1"/>
      <c r="C827" s="75"/>
      <c r="D827" s="1"/>
      <c r="E827" s="1"/>
      <c r="F827" s="1"/>
      <c r="G827" s="1"/>
      <c r="I827" s="1"/>
      <c r="J827" s="1"/>
    </row>
    <row r="828">
      <c r="A828" s="1"/>
      <c r="B828" s="1"/>
      <c r="C828" s="75"/>
      <c r="D828" s="1"/>
      <c r="E828" s="1"/>
      <c r="F828" s="1"/>
      <c r="G828" s="1"/>
      <c r="I828" s="1"/>
      <c r="J828" s="1"/>
    </row>
    <row r="829">
      <c r="A829" s="1"/>
      <c r="B829" s="1"/>
      <c r="C829" s="75"/>
      <c r="D829" s="1"/>
      <c r="E829" s="1"/>
      <c r="F829" s="1"/>
      <c r="G829" s="1"/>
      <c r="I829" s="1"/>
      <c r="J829" s="1"/>
    </row>
    <row r="830">
      <c r="A830" s="1"/>
      <c r="B830" s="1"/>
      <c r="C830" s="75"/>
      <c r="D830" s="1"/>
      <c r="E830" s="1"/>
      <c r="F830" s="1"/>
      <c r="G830" s="1"/>
      <c r="I830" s="1"/>
      <c r="J830" s="1"/>
    </row>
    <row r="831">
      <c r="A831" s="1"/>
      <c r="B831" s="1"/>
      <c r="C831" s="75"/>
      <c r="D831" s="1"/>
      <c r="E831" s="1"/>
      <c r="F831" s="1"/>
      <c r="G831" s="1"/>
      <c r="I831" s="1"/>
      <c r="J831" s="1"/>
    </row>
    <row r="832">
      <c r="A832" s="1"/>
      <c r="B832" s="1"/>
      <c r="C832" s="75"/>
      <c r="D832" s="1"/>
      <c r="E832" s="1"/>
      <c r="F832" s="1"/>
      <c r="G832" s="1"/>
      <c r="I832" s="1"/>
      <c r="J832" s="1"/>
    </row>
    <row r="833">
      <c r="A833" s="1"/>
      <c r="B833" s="1"/>
      <c r="C833" s="75"/>
      <c r="D833" s="1"/>
      <c r="E833" s="1"/>
      <c r="F833" s="1"/>
      <c r="G833" s="1"/>
      <c r="I833" s="1"/>
      <c r="J833" s="1"/>
    </row>
    <row r="834">
      <c r="A834" s="1"/>
      <c r="B834" s="1"/>
      <c r="C834" s="75"/>
      <c r="D834" s="1"/>
      <c r="E834" s="1"/>
      <c r="F834" s="1"/>
      <c r="G834" s="1"/>
      <c r="I834" s="1"/>
      <c r="J834" s="1"/>
    </row>
    <row r="835">
      <c r="A835" s="1"/>
      <c r="B835" s="1"/>
      <c r="C835" s="75"/>
      <c r="D835" s="1"/>
      <c r="E835" s="1"/>
      <c r="F835" s="1"/>
      <c r="G835" s="1"/>
      <c r="I835" s="1"/>
      <c r="J835" s="1"/>
    </row>
    <row r="836">
      <c r="A836" s="1"/>
      <c r="B836" s="1"/>
      <c r="C836" s="75"/>
      <c r="D836" s="1"/>
      <c r="E836" s="1"/>
      <c r="F836" s="1"/>
      <c r="G836" s="1"/>
      <c r="I836" s="1"/>
      <c r="J836" s="1"/>
    </row>
    <row r="837">
      <c r="A837" s="1"/>
      <c r="B837" s="1"/>
      <c r="C837" s="75"/>
      <c r="D837" s="1"/>
      <c r="E837" s="1"/>
      <c r="F837" s="1"/>
      <c r="G837" s="1"/>
      <c r="I837" s="1"/>
      <c r="J837" s="1"/>
    </row>
    <row r="838">
      <c r="A838" s="1"/>
      <c r="B838" s="1"/>
      <c r="C838" s="75"/>
      <c r="D838" s="1"/>
      <c r="E838" s="1"/>
      <c r="F838" s="1"/>
      <c r="G838" s="1"/>
      <c r="I838" s="1"/>
      <c r="J838" s="1"/>
    </row>
    <row r="839">
      <c r="A839" s="1"/>
      <c r="B839" s="1"/>
      <c r="C839" s="75"/>
      <c r="D839" s="1"/>
      <c r="E839" s="1"/>
      <c r="F839" s="1"/>
      <c r="G839" s="1"/>
      <c r="I839" s="1"/>
      <c r="J839" s="1"/>
    </row>
    <row r="840">
      <c r="A840" s="1"/>
      <c r="B840" s="1"/>
      <c r="C840" s="75"/>
      <c r="D840" s="1"/>
      <c r="E840" s="1"/>
      <c r="F840" s="1"/>
      <c r="G840" s="1"/>
      <c r="I840" s="1"/>
      <c r="J840" s="1"/>
    </row>
    <row r="841">
      <c r="A841" s="1"/>
      <c r="B841" s="1"/>
      <c r="C841" s="75"/>
      <c r="D841" s="1"/>
      <c r="E841" s="1"/>
      <c r="F841" s="1"/>
      <c r="G841" s="1"/>
      <c r="I841" s="1"/>
      <c r="J841" s="1"/>
    </row>
    <row r="842">
      <c r="A842" s="1"/>
      <c r="B842" s="1"/>
      <c r="C842" s="75"/>
      <c r="D842" s="1"/>
      <c r="E842" s="1"/>
      <c r="F842" s="1"/>
      <c r="G842" s="1"/>
      <c r="I842" s="1"/>
      <c r="J842" s="1"/>
    </row>
    <row r="843">
      <c r="A843" s="1"/>
      <c r="B843" s="1"/>
      <c r="C843" s="75"/>
      <c r="D843" s="1"/>
      <c r="E843" s="1"/>
      <c r="F843" s="1"/>
      <c r="G843" s="1"/>
      <c r="I843" s="1"/>
      <c r="J843" s="1"/>
    </row>
    <row r="844">
      <c r="A844" s="1"/>
      <c r="B844" s="1"/>
      <c r="C844" s="75"/>
      <c r="D844" s="1"/>
      <c r="E844" s="1"/>
      <c r="F844" s="1"/>
      <c r="G844" s="1"/>
      <c r="I844" s="1"/>
      <c r="J844" s="1"/>
    </row>
    <row r="845">
      <c r="A845" s="1"/>
      <c r="B845" s="1"/>
      <c r="C845" s="75"/>
      <c r="D845" s="1"/>
      <c r="E845" s="1"/>
      <c r="F845" s="1"/>
      <c r="G845" s="1"/>
      <c r="I845" s="1"/>
      <c r="J845" s="1"/>
    </row>
    <row r="846">
      <c r="A846" s="1"/>
      <c r="B846" s="1"/>
      <c r="C846" s="75"/>
      <c r="D846" s="1"/>
      <c r="E846" s="1"/>
      <c r="F846" s="1"/>
      <c r="G846" s="1"/>
      <c r="I846" s="1"/>
      <c r="J846" s="1"/>
    </row>
    <row r="847">
      <c r="A847" s="1"/>
      <c r="B847" s="1"/>
      <c r="C847" s="75"/>
      <c r="D847" s="1"/>
      <c r="E847" s="1"/>
      <c r="F847" s="1"/>
      <c r="G847" s="1"/>
      <c r="I847" s="1"/>
      <c r="J847" s="1"/>
    </row>
    <row r="848">
      <c r="A848" s="1"/>
      <c r="B848" s="1"/>
      <c r="C848" s="75"/>
      <c r="D848" s="1"/>
      <c r="E848" s="1"/>
      <c r="F848" s="1"/>
      <c r="G848" s="1"/>
      <c r="I848" s="1"/>
      <c r="J848" s="1"/>
    </row>
    <row r="849">
      <c r="A849" s="1"/>
      <c r="B849" s="1"/>
      <c r="C849" s="75"/>
      <c r="D849" s="1"/>
      <c r="E849" s="1"/>
      <c r="F849" s="1"/>
      <c r="G849" s="1"/>
      <c r="I849" s="1"/>
      <c r="J849" s="1"/>
    </row>
    <row r="850">
      <c r="A850" s="1"/>
      <c r="B850" s="1"/>
      <c r="C850" s="75"/>
      <c r="D850" s="1"/>
      <c r="E850" s="1"/>
      <c r="F850" s="1"/>
      <c r="G850" s="1"/>
      <c r="I850" s="1"/>
      <c r="J850" s="1"/>
    </row>
    <row r="851">
      <c r="A851" s="1"/>
      <c r="B851" s="1"/>
      <c r="C851" s="75"/>
      <c r="D851" s="1"/>
      <c r="E851" s="1"/>
      <c r="F851" s="1"/>
      <c r="G851" s="1"/>
      <c r="I851" s="1"/>
      <c r="J851" s="1"/>
    </row>
    <row r="852">
      <c r="A852" s="1"/>
      <c r="B852" s="1"/>
      <c r="C852" s="75"/>
      <c r="D852" s="1"/>
      <c r="E852" s="1"/>
      <c r="F852" s="1"/>
      <c r="G852" s="1"/>
      <c r="I852" s="1"/>
      <c r="J852" s="1"/>
    </row>
    <row r="853">
      <c r="A853" s="1"/>
      <c r="B853" s="1"/>
      <c r="C853" s="75"/>
      <c r="D853" s="1"/>
      <c r="E853" s="1"/>
      <c r="F853" s="1"/>
      <c r="G853" s="1"/>
      <c r="I853" s="1"/>
      <c r="J853" s="1"/>
    </row>
    <row r="854">
      <c r="A854" s="1"/>
      <c r="B854" s="1"/>
      <c r="C854" s="75"/>
      <c r="D854" s="1"/>
      <c r="E854" s="1"/>
      <c r="F854" s="1"/>
      <c r="G854" s="1"/>
      <c r="I854" s="1"/>
      <c r="J854" s="1"/>
    </row>
    <row r="855">
      <c r="A855" s="1"/>
      <c r="B855" s="1"/>
      <c r="C855" s="75"/>
      <c r="D855" s="1"/>
      <c r="E855" s="1"/>
      <c r="F855" s="1"/>
      <c r="G855" s="1"/>
      <c r="I855" s="1"/>
      <c r="J855" s="1"/>
    </row>
    <row r="856">
      <c r="A856" s="1"/>
      <c r="B856" s="1"/>
      <c r="C856" s="75"/>
      <c r="D856" s="1"/>
      <c r="E856" s="1"/>
      <c r="F856" s="1"/>
      <c r="G856" s="1"/>
      <c r="I856" s="1"/>
      <c r="J856" s="1"/>
    </row>
    <row r="857">
      <c r="A857" s="1"/>
      <c r="B857" s="1"/>
      <c r="C857" s="75"/>
      <c r="D857" s="1"/>
      <c r="E857" s="1"/>
      <c r="F857" s="1"/>
      <c r="G857" s="1"/>
      <c r="I857" s="1"/>
      <c r="J857" s="1"/>
    </row>
    <row r="858">
      <c r="A858" s="1"/>
      <c r="B858" s="1"/>
      <c r="C858" s="75"/>
      <c r="D858" s="1"/>
      <c r="E858" s="1"/>
      <c r="F858" s="1"/>
      <c r="G858" s="1"/>
      <c r="I858" s="1"/>
      <c r="J858" s="1"/>
    </row>
    <row r="859">
      <c r="A859" s="1"/>
      <c r="B859" s="1"/>
      <c r="C859" s="75"/>
      <c r="D859" s="1"/>
      <c r="E859" s="1"/>
      <c r="F859" s="1"/>
      <c r="G859" s="1"/>
      <c r="I859" s="1"/>
      <c r="J859" s="1"/>
    </row>
    <row r="860">
      <c r="A860" s="1"/>
      <c r="B860" s="1"/>
      <c r="C860" s="75"/>
      <c r="D860" s="1"/>
      <c r="E860" s="1"/>
      <c r="F860" s="1"/>
      <c r="G860" s="1"/>
      <c r="I860" s="1"/>
      <c r="J860" s="1"/>
    </row>
    <row r="861">
      <c r="A861" s="1"/>
      <c r="B861" s="1"/>
      <c r="C861" s="75"/>
      <c r="D861" s="1"/>
      <c r="E861" s="1"/>
      <c r="F861" s="1"/>
      <c r="G861" s="1"/>
      <c r="I861" s="1"/>
      <c r="J861" s="1"/>
    </row>
    <row r="862">
      <c r="A862" s="1"/>
      <c r="B862" s="1"/>
      <c r="C862" s="75"/>
      <c r="D862" s="1"/>
      <c r="E862" s="1"/>
      <c r="F862" s="1"/>
      <c r="G862" s="1"/>
      <c r="I862" s="1"/>
      <c r="J862" s="1"/>
    </row>
    <row r="863">
      <c r="A863" s="1"/>
      <c r="B863" s="1"/>
      <c r="C863" s="75"/>
      <c r="D863" s="1"/>
      <c r="E863" s="1"/>
      <c r="F863" s="1"/>
      <c r="G863" s="1"/>
      <c r="I863" s="1"/>
      <c r="J863" s="1"/>
    </row>
    <row r="864">
      <c r="A864" s="1"/>
      <c r="B864" s="1"/>
      <c r="C864" s="75"/>
      <c r="D864" s="1"/>
      <c r="E864" s="1"/>
      <c r="F864" s="1"/>
      <c r="G864" s="1"/>
      <c r="I864" s="1"/>
      <c r="J864" s="1"/>
    </row>
    <row r="865">
      <c r="A865" s="1"/>
      <c r="B865" s="1"/>
      <c r="C865" s="75"/>
      <c r="D865" s="1"/>
      <c r="E865" s="1"/>
      <c r="F865" s="1"/>
      <c r="G865" s="1"/>
      <c r="I865" s="1"/>
      <c r="J865" s="1"/>
    </row>
    <row r="866">
      <c r="A866" s="1"/>
      <c r="B866" s="1"/>
      <c r="C866" s="75"/>
      <c r="D866" s="1"/>
      <c r="E866" s="1"/>
      <c r="F866" s="1"/>
      <c r="G866" s="1"/>
      <c r="I866" s="1"/>
      <c r="J866" s="1"/>
    </row>
    <row r="867">
      <c r="A867" s="1"/>
      <c r="B867" s="1"/>
      <c r="C867" s="75"/>
      <c r="D867" s="1"/>
      <c r="E867" s="1"/>
      <c r="F867" s="1"/>
      <c r="G867" s="1"/>
      <c r="I867" s="1"/>
      <c r="J867" s="1"/>
    </row>
    <row r="868">
      <c r="A868" s="1"/>
      <c r="B868" s="1"/>
      <c r="C868" s="75"/>
      <c r="D868" s="1"/>
      <c r="E868" s="1"/>
      <c r="F868" s="1"/>
      <c r="G868" s="1"/>
      <c r="I868" s="1"/>
      <c r="J868" s="1"/>
    </row>
    <row r="869">
      <c r="A869" s="1"/>
      <c r="B869" s="1"/>
      <c r="C869" s="75"/>
      <c r="D869" s="1"/>
      <c r="E869" s="1"/>
      <c r="F869" s="1"/>
      <c r="G869" s="1"/>
      <c r="I869" s="1"/>
      <c r="J869" s="1"/>
    </row>
    <row r="870">
      <c r="A870" s="1"/>
      <c r="B870" s="1"/>
      <c r="C870" s="75"/>
      <c r="D870" s="1"/>
      <c r="E870" s="1"/>
      <c r="F870" s="1"/>
      <c r="G870" s="1"/>
      <c r="I870" s="1"/>
      <c r="J870" s="1"/>
    </row>
    <row r="871">
      <c r="A871" s="1"/>
      <c r="B871" s="1"/>
      <c r="C871" s="75"/>
      <c r="D871" s="1"/>
      <c r="E871" s="1"/>
      <c r="F871" s="1"/>
      <c r="G871" s="1"/>
      <c r="I871" s="1"/>
      <c r="J871" s="1"/>
    </row>
    <row r="872">
      <c r="A872" s="1"/>
      <c r="B872" s="1"/>
      <c r="C872" s="75"/>
      <c r="D872" s="1"/>
      <c r="E872" s="1"/>
      <c r="F872" s="1"/>
      <c r="G872" s="1"/>
      <c r="I872" s="1"/>
      <c r="J872" s="1"/>
    </row>
    <row r="873">
      <c r="A873" s="1"/>
      <c r="B873" s="1"/>
      <c r="C873" s="75"/>
      <c r="D873" s="1"/>
      <c r="E873" s="1"/>
      <c r="F873" s="1"/>
      <c r="G873" s="1"/>
      <c r="I873" s="1"/>
      <c r="J873" s="1"/>
    </row>
    <row r="874">
      <c r="A874" s="1"/>
      <c r="B874" s="1"/>
      <c r="C874" s="75"/>
      <c r="D874" s="1"/>
      <c r="E874" s="1"/>
      <c r="F874" s="1"/>
      <c r="G874" s="1"/>
      <c r="I874" s="1"/>
      <c r="J874" s="1"/>
    </row>
    <row r="875">
      <c r="A875" s="1"/>
      <c r="B875" s="1"/>
      <c r="C875" s="75"/>
      <c r="D875" s="1"/>
      <c r="E875" s="1"/>
      <c r="F875" s="1"/>
      <c r="G875" s="1"/>
      <c r="I875" s="1"/>
      <c r="J875" s="1"/>
    </row>
    <row r="876">
      <c r="A876" s="1"/>
      <c r="B876" s="1"/>
      <c r="C876" s="75"/>
      <c r="D876" s="1"/>
      <c r="E876" s="1"/>
      <c r="F876" s="1"/>
      <c r="G876" s="1"/>
      <c r="I876" s="1"/>
      <c r="J876" s="1"/>
    </row>
    <row r="877">
      <c r="A877" s="1"/>
      <c r="B877" s="1"/>
      <c r="C877" s="75"/>
      <c r="D877" s="1"/>
      <c r="E877" s="1"/>
      <c r="F877" s="1"/>
      <c r="G877" s="1"/>
      <c r="I877" s="1"/>
      <c r="J877" s="1"/>
    </row>
    <row r="878">
      <c r="A878" s="1"/>
      <c r="B878" s="1"/>
      <c r="C878" s="75"/>
      <c r="D878" s="1"/>
      <c r="E878" s="1"/>
      <c r="F878" s="1"/>
      <c r="G878" s="1"/>
      <c r="I878" s="1"/>
      <c r="J878" s="1"/>
    </row>
    <row r="879">
      <c r="A879" s="1"/>
      <c r="B879" s="1"/>
      <c r="C879" s="75"/>
      <c r="D879" s="1"/>
      <c r="E879" s="1"/>
      <c r="F879" s="1"/>
      <c r="G879" s="1"/>
      <c r="I879" s="1"/>
      <c r="J879" s="1"/>
    </row>
    <row r="880">
      <c r="A880" s="1"/>
      <c r="B880" s="1"/>
      <c r="C880" s="75"/>
      <c r="D880" s="1"/>
      <c r="E880" s="1"/>
      <c r="F880" s="1"/>
      <c r="G880" s="1"/>
      <c r="I880" s="1"/>
      <c r="J880" s="1"/>
    </row>
    <row r="881">
      <c r="A881" s="1"/>
      <c r="B881" s="1"/>
      <c r="C881" s="75"/>
      <c r="D881" s="1"/>
      <c r="E881" s="1"/>
      <c r="F881" s="1"/>
      <c r="G881" s="1"/>
      <c r="I881" s="1"/>
      <c r="J881" s="1"/>
    </row>
    <row r="882">
      <c r="A882" s="1"/>
      <c r="B882" s="1"/>
      <c r="C882" s="75"/>
      <c r="D882" s="1"/>
      <c r="E882" s="1"/>
      <c r="F882" s="1"/>
      <c r="G882" s="1"/>
      <c r="I882" s="1"/>
      <c r="J882" s="1"/>
    </row>
    <row r="883">
      <c r="A883" s="1"/>
      <c r="B883" s="1"/>
      <c r="C883" s="75"/>
      <c r="D883" s="1"/>
      <c r="E883" s="1"/>
      <c r="F883" s="1"/>
      <c r="G883" s="1"/>
      <c r="I883" s="1"/>
      <c r="J883" s="1"/>
    </row>
    <row r="884">
      <c r="A884" s="1"/>
      <c r="B884" s="1"/>
      <c r="C884" s="75"/>
      <c r="D884" s="1"/>
      <c r="E884" s="1"/>
      <c r="F884" s="1"/>
      <c r="G884" s="1"/>
      <c r="I884" s="1"/>
      <c r="J884" s="1"/>
    </row>
    <row r="885">
      <c r="A885" s="1"/>
      <c r="B885" s="1"/>
      <c r="C885" s="75"/>
      <c r="D885" s="1"/>
      <c r="E885" s="1"/>
      <c r="F885" s="1"/>
      <c r="G885" s="1"/>
      <c r="I885" s="1"/>
      <c r="J885" s="1"/>
    </row>
    <row r="886">
      <c r="A886" s="1"/>
      <c r="B886" s="1"/>
      <c r="C886" s="75"/>
      <c r="D886" s="1"/>
      <c r="E886" s="1"/>
      <c r="F886" s="1"/>
      <c r="G886" s="1"/>
      <c r="I886" s="1"/>
      <c r="J886" s="1"/>
    </row>
    <row r="887">
      <c r="A887" s="1"/>
      <c r="B887" s="1"/>
      <c r="C887" s="75"/>
      <c r="D887" s="1"/>
      <c r="E887" s="1"/>
      <c r="F887" s="1"/>
      <c r="G887" s="1"/>
      <c r="I887" s="1"/>
      <c r="J887" s="1"/>
    </row>
    <row r="888">
      <c r="A888" s="1"/>
      <c r="B888" s="1"/>
      <c r="C888" s="75"/>
      <c r="D888" s="1"/>
      <c r="E888" s="1"/>
      <c r="F888" s="1"/>
      <c r="G888" s="1"/>
      <c r="I888" s="1"/>
      <c r="J888" s="1"/>
    </row>
    <row r="889">
      <c r="A889" s="1"/>
      <c r="B889" s="1"/>
      <c r="C889" s="75"/>
      <c r="D889" s="1"/>
      <c r="E889" s="1"/>
      <c r="F889" s="1"/>
      <c r="G889" s="1"/>
      <c r="I889" s="1"/>
      <c r="J889" s="1"/>
    </row>
    <row r="890">
      <c r="A890" s="1"/>
      <c r="B890" s="1"/>
      <c r="C890" s="75"/>
      <c r="D890" s="1"/>
      <c r="E890" s="1"/>
      <c r="F890" s="1"/>
      <c r="G890" s="1"/>
      <c r="I890" s="1"/>
      <c r="J890" s="1"/>
    </row>
    <row r="891">
      <c r="A891" s="1"/>
      <c r="B891" s="1"/>
      <c r="C891" s="75"/>
      <c r="D891" s="1"/>
      <c r="E891" s="1"/>
      <c r="F891" s="1"/>
      <c r="G891" s="1"/>
      <c r="I891" s="1"/>
      <c r="J891" s="1"/>
    </row>
    <row r="892">
      <c r="A892" s="1"/>
      <c r="B892" s="1"/>
      <c r="C892" s="75"/>
      <c r="D892" s="1"/>
      <c r="E892" s="1"/>
      <c r="F892" s="1"/>
      <c r="G892" s="1"/>
      <c r="I892" s="1"/>
      <c r="J892" s="1"/>
    </row>
    <row r="893">
      <c r="A893" s="1"/>
      <c r="B893" s="1"/>
      <c r="C893" s="75"/>
      <c r="D893" s="1"/>
      <c r="E893" s="1"/>
      <c r="F893" s="1"/>
      <c r="G893" s="1"/>
      <c r="I893" s="1"/>
      <c r="J893" s="1"/>
    </row>
    <row r="894">
      <c r="A894" s="1"/>
      <c r="B894" s="1"/>
      <c r="C894" s="75"/>
      <c r="D894" s="1"/>
      <c r="E894" s="1"/>
      <c r="F894" s="1"/>
      <c r="G894" s="1"/>
      <c r="I894" s="1"/>
      <c r="J894" s="1"/>
    </row>
    <row r="895">
      <c r="A895" s="1"/>
      <c r="B895" s="1"/>
      <c r="C895" s="75"/>
      <c r="D895" s="1"/>
      <c r="E895" s="1"/>
      <c r="F895" s="1"/>
      <c r="G895" s="1"/>
      <c r="I895" s="1"/>
      <c r="J895" s="1"/>
    </row>
    <row r="896">
      <c r="A896" s="1"/>
      <c r="B896" s="1"/>
      <c r="C896" s="75"/>
      <c r="D896" s="1"/>
      <c r="E896" s="1"/>
      <c r="F896" s="1"/>
      <c r="G896" s="1"/>
      <c r="I896" s="1"/>
      <c r="J896" s="1"/>
    </row>
    <row r="897">
      <c r="A897" s="1"/>
      <c r="B897" s="1"/>
      <c r="C897" s="75"/>
      <c r="D897" s="1"/>
      <c r="E897" s="1"/>
      <c r="F897" s="1"/>
      <c r="G897" s="1"/>
      <c r="I897" s="1"/>
      <c r="J897" s="1"/>
    </row>
    <row r="898">
      <c r="A898" s="1"/>
      <c r="B898" s="1"/>
      <c r="C898" s="75"/>
      <c r="D898" s="1"/>
      <c r="E898" s="1"/>
      <c r="F898" s="1"/>
      <c r="G898" s="1"/>
      <c r="I898" s="1"/>
      <c r="J898" s="1"/>
    </row>
    <row r="899">
      <c r="A899" s="1"/>
      <c r="B899" s="1"/>
      <c r="C899" s="75"/>
      <c r="D899" s="1"/>
      <c r="E899" s="1"/>
      <c r="F899" s="1"/>
      <c r="G899" s="1"/>
      <c r="I899" s="1"/>
      <c r="J899" s="1"/>
    </row>
    <row r="900">
      <c r="A900" s="1"/>
      <c r="B900" s="1"/>
      <c r="C900" s="75"/>
      <c r="D900" s="1"/>
      <c r="E900" s="1"/>
      <c r="F900" s="1"/>
      <c r="G900" s="1"/>
      <c r="I900" s="1"/>
      <c r="J900" s="1"/>
    </row>
    <row r="901">
      <c r="A901" s="1"/>
      <c r="B901" s="1"/>
      <c r="C901" s="75"/>
      <c r="D901" s="1"/>
      <c r="E901" s="1"/>
      <c r="F901" s="1"/>
      <c r="G901" s="1"/>
      <c r="I901" s="1"/>
      <c r="J901" s="1"/>
    </row>
    <row r="902">
      <c r="A902" s="1"/>
      <c r="B902" s="1"/>
      <c r="C902" s="75"/>
      <c r="D902" s="1"/>
      <c r="E902" s="1"/>
      <c r="F902" s="1"/>
      <c r="G902" s="1"/>
      <c r="I902" s="1"/>
      <c r="J902" s="1"/>
    </row>
    <row r="903">
      <c r="A903" s="1"/>
      <c r="B903" s="1"/>
      <c r="C903" s="75"/>
      <c r="D903" s="1"/>
      <c r="E903" s="1"/>
      <c r="F903" s="1"/>
      <c r="G903" s="1"/>
      <c r="I903" s="1"/>
      <c r="J903" s="1"/>
    </row>
    <row r="904">
      <c r="A904" s="1"/>
      <c r="B904" s="1"/>
      <c r="C904" s="75"/>
      <c r="D904" s="1"/>
      <c r="E904" s="1"/>
      <c r="F904" s="1"/>
      <c r="G904" s="1"/>
      <c r="I904" s="1"/>
      <c r="J904" s="1"/>
    </row>
    <row r="905">
      <c r="A905" s="1"/>
      <c r="B905" s="1"/>
      <c r="C905" s="75"/>
      <c r="D905" s="1"/>
      <c r="E905" s="1"/>
      <c r="F905" s="1"/>
      <c r="G905" s="1"/>
      <c r="I905" s="1"/>
      <c r="J905" s="1"/>
    </row>
    <row r="906">
      <c r="A906" s="1"/>
      <c r="B906" s="1"/>
      <c r="C906" s="75"/>
      <c r="D906" s="1"/>
      <c r="E906" s="1"/>
      <c r="F906" s="1"/>
      <c r="G906" s="1"/>
      <c r="I906" s="1"/>
      <c r="J906" s="1"/>
    </row>
    <row r="907">
      <c r="A907" s="1"/>
      <c r="B907" s="1"/>
      <c r="C907" s="75"/>
      <c r="D907" s="1"/>
      <c r="E907" s="1"/>
      <c r="F907" s="1"/>
      <c r="G907" s="1"/>
      <c r="I907" s="1"/>
      <c r="J907" s="1"/>
    </row>
    <row r="908">
      <c r="A908" s="1"/>
      <c r="B908" s="1"/>
      <c r="C908" s="75"/>
      <c r="D908" s="1"/>
      <c r="E908" s="1"/>
      <c r="F908" s="1"/>
      <c r="G908" s="1"/>
      <c r="I908" s="1"/>
      <c r="J908" s="1"/>
    </row>
    <row r="909">
      <c r="A909" s="1"/>
      <c r="B909" s="1"/>
      <c r="C909" s="75"/>
      <c r="D909" s="1"/>
      <c r="E909" s="1"/>
      <c r="F909" s="1"/>
      <c r="G909" s="1"/>
      <c r="I909" s="1"/>
      <c r="J909" s="1"/>
    </row>
    <row r="910">
      <c r="A910" s="1"/>
      <c r="B910" s="1"/>
      <c r="C910" s="75"/>
      <c r="D910" s="1"/>
      <c r="E910" s="1"/>
      <c r="F910" s="1"/>
      <c r="G910" s="1"/>
      <c r="I910" s="1"/>
      <c r="J910" s="1"/>
    </row>
    <row r="911">
      <c r="A911" s="1"/>
      <c r="B911" s="1"/>
      <c r="C911" s="75"/>
      <c r="D911" s="1"/>
      <c r="E911" s="1"/>
      <c r="F911" s="1"/>
      <c r="G911" s="1"/>
      <c r="I911" s="1"/>
      <c r="J911" s="1"/>
    </row>
    <row r="912">
      <c r="A912" s="1"/>
      <c r="B912" s="1"/>
      <c r="C912" s="75"/>
      <c r="D912" s="1"/>
      <c r="E912" s="1"/>
      <c r="F912" s="1"/>
      <c r="G912" s="1"/>
      <c r="I912" s="1"/>
      <c r="J912" s="1"/>
    </row>
    <row r="913">
      <c r="A913" s="1"/>
      <c r="B913" s="1"/>
      <c r="C913" s="75"/>
      <c r="D913" s="1"/>
      <c r="E913" s="1"/>
      <c r="F913" s="1"/>
      <c r="G913" s="1"/>
      <c r="I913" s="1"/>
      <c r="J913" s="1"/>
    </row>
    <row r="914">
      <c r="A914" s="1"/>
      <c r="B914" s="1"/>
      <c r="C914" s="75"/>
      <c r="D914" s="1"/>
      <c r="E914" s="1"/>
      <c r="F914" s="1"/>
      <c r="G914" s="1"/>
      <c r="I914" s="1"/>
      <c r="J914" s="1"/>
    </row>
    <row r="915">
      <c r="A915" s="1"/>
      <c r="B915" s="1"/>
      <c r="C915" s="75"/>
      <c r="D915" s="1"/>
      <c r="E915" s="1"/>
      <c r="F915" s="1"/>
      <c r="G915" s="1"/>
      <c r="I915" s="1"/>
      <c r="J915" s="1"/>
    </row>
    <row r="916">
      <c r="A916" s="1"/>
      <c r="B916" s="1"/>
      <c r="C916" s="75"/>
      <c r="D916" s="1"/>
      <c r="E916" s="1"/>
      <c r="F916" s="1"/>
      <c r="G916" s="1"/>
      <c r="I916" s="1"/>
      <c r="J916" s="1"/>
    </row>
    <row r="917">
      <c r="A917" s="1"/>
      <c r="B917" s="1"/>
      <c r="C917" s="75"/>
      <c r="D917" s="1"/>
      <c r="E917" s="1"/>
      <c r="F917" s="1"/>
      <c r="G917" s="1"/>
      <c r="I917" s="1"/>
      <c r="J917" s="1"/>
    </row>
    <row r="918">
      <c r="A918" s="1"/>
      <c r="B918" s="1"/>
      <c r="C918" s="75"/>
      <c r="D918" s="1"/>
      <c r="E918" s="1"/>
      <c r="F918" s="1"/>
      <c r="G918" s="1"/>
      <c r="I918" s="1"/>
      <c r="J918" s="1"/>
    </row>
    <row r="919">
      <c r="A919" s="1"/>
      <c r="B919" s="1"/>
      <c r="C919" s="75"/>
      <c r="D919" s="1"/>
      <c r="E919" s="1"/>
      <c r="F919" s="1"/>
      <c r="G919" s="1"/>
      <c r="I919" s="1"/>
      <c r="J919" s="1"/>
    </row>
    <row r="920">
      <c r="A920" s="1"/>
      <c r="B920" s="1"/>
      <c r="C920" s="75"/>
      <c r="D920" s="1"/>
      <c r="E920" s="1"/>
      <c r="F920" s="1"/>
      <c r="G920" s="1"/>
      <c r="I920" s="1"/>
      <c r="J920" s="1"/>
    </row>
    <row r="921">
      <c r="A921" s="1"/>
      <c r="B921" s="1"/>
      <c r="C921" s="75"/>
      <c r="D921" s="1"/>
      <c r="E921" s="1"/>
      <c r="F921" s="1"/>
      <c r="G921" s="1"/>
      <c r="I921" s="1"/>
      <c r="J921" s="1"/>
    </row>
    <row r="922">
      <c r="A922" s="1"/>
      <c r="B922" s="1"/>
      <c r="C922" s="75"/>
      <c r="D922" s="1"/>
      <c r="E922" s="1"/>
      <c r="F922" s="1"/>
      <c r="G922" s="1"/>
      <c r="I922" s="1"/>
      <c r="J922" s="1"/>
    </row>
    <row r="923">
      <c r="A923" s="1"/>
      <c r="B923" s="1"/>
      <c r="C923" s="75"/>
      <c r="D923" s="1"/>
      <c r="E923" s="1"/>
      <c r="F923" s="1"/>
      <c r="G923" s="1"/>
      <c r="I923" s="1"/>
      <c r="J923" s="1"/>
    </row>
    <row r="924">
      <c r="A924" s="1"/>
      <c r="B924" s="1"/>
      <c r="C924" s="75"/>
      <c r="D924" s="1"/>
      <c r="E924" s="1"/>
      <c r="F924" s="1"/>
      <c r="G924" s="1"/>
      <c r="I924" s="1"/>
      <c r="J924" s="1"/>
    </row>
    <row r="925">
      <c r="A925" s="1"/>
      <c r="B925" s="1"/>
      <c r="C925" s="75"/>
      <c r="D925" s="1"/>
      <c r="E925" s="1"/>
      <c r="F925" s="1"/>
      <c r="G925" s="1"/>
      <c r="I925" s="1"/>
      <c r="J925" s="1"/>
    </row>
    <row r="926">
      <c r="A926" s="1"/>
      <c r="B926" s="1"/>
      <c r="C926" s="75"/>
      <c r="D926" s="1"/>
      <c r="E926" s="1"/>
      <c r="F926" s="1"/>
      <c r="G926" s="1"/>
      <c r="I926" s="1"/>
      <c r="J926" s="1"/>
    </row>
    <row r="927">
      <c r="A927" s="1"/>
      <c r="B927" s="1"/>
      <c r="C927" s="75"/>
      <c r="D927" s="1"/>
      <c r="E927" s="1"/>
      <c r="F927" s="1"/>
      <c r="G927" s="1"/>
      <c r="I927" s="1"/>
      <c r="J927" s="1"/>
    </row>
    <row r="928">
      <c r="A928" s="1"/>
      <c r="B928" s="1"/>
      <c r="C928" s="75"/>
      <c r="D928" s="1"/>
      <c r="E928" s="1"/>
      <c r="F928" s="1"/>
      <c r="G928" s="1"/>
      <c r="I928" s="1"/>
      <c r="J928" s="1"/>
    </row>
    <row r="929">
      <c r="A929" s="1"/>
      <c r="B929" s="1"/>
      <c r="C929" s="75"/>
      <c r="D929" s="1"/>
      <c r="E929" s="1"/>
      <c r="F929" s="1"/>
      <c r="G929" s="1"/>
      <c r="I929" s="1"/>
      <c r="J929" s="1"/>
    </row>
    <row r="930">
      <c r="A930" s="1"/>
      <c r="B930" s="1"/>
      <c r="C930" s="75"/>
      <c r="D930" s="1"/>
      <c r="E930" s="1"/>
      <c r="F930" s="1"/>
      <c r="G930" s="1"/>
      <c r="I930" s="1"/>
      <c r="J930" s="1"/>
    </row>
    <row r="931">
      <c r="A931" s="1"/>
      <c r="B931" s="1"/>
      <c r="C931" s="75"/>
      <c r="D931" s="1"/>
      <c r="E931" s="1"/>
      <c r="F931" s="1"/>
      <c r="G931" s="1"/>
      <c r="I931" s="1"/>
      <c r="J931" s="1"/>
    </row>
    <row r="932">
      <c r="A932" s="1"/>
      <c r="B932" s="1"/>
      <c r="C932" s="75"/>
      <c r="D932" s="1"/>
      <c r="E932" s="1"/>
      <c r="F932" s="1"/>
      <c r="G932" s="1"/>
      <c r="I932" s="1"/>
      <c r="J932" s="1"/>
    </row>
    <row r="933">
      <c r="A933" s="1"/>
      <c r="B933" s="1"/>
      <c r="C933" s="75"/>
      <c r="D933" s="1"/>
      <c r="E933" s="1"/>
      <c r="F933" s="1"/>
      <c r="G933" s="1"/>
      <c r="I933" s="1"/>
      <c r="J933" s="1"/>
    </row>
    <row r="934">
      <c r="A934" s="1"/>
      <c r="B934" s="1"/>
      <c r="C934" s="75"/>
      <c r="D934" s="1"/>
      <c r="E934" s="1"/>
      <c r="F934" s="1"/>
      <c r="G934" s="1"/>
      <c r="I934" s="1"/>
      <c r="J934" s="1"/>
    </row>
    <row r="935">
      <c r="A935" s="1"/>
      <c r="B935" s="1"/>
      <c r="C935" s="75"/>
      <c r="D935" s="1"/>
      <c r="E935" s="1"/>
      <c r="F935" s="1"/>
      <c r="G935" s="1"/>
      <c r="I935" s="1"/>
      <c r="J935" s="1"/>
    </row>
    <row r="936">
      <c r="A936" s="1"/>
      <c r="B936" s="1"/>
      <c r="C936" s="75"/>
      <c r="D936" s="1"/>
      <c r="E936" s="1"/>
      <c r="F936" s="1"/>
      <c r="G936" s="1"/>
      <c r="I936" s="1"/>
      <c r="J936" s="1"/>
    </row>
    <row r="937">
      <c r="A937" s="1"/>
      <c r="B937" s="1"/>
      <c r="C937" s="75"/>
      <c r="D937" s="1"/>
      <c r="E937" s="1"/>
      <c r="F937" s="1"/>
      <c r="G937" s="1"/>
      <c r="I937" s="1"/>
      <c r="J937" s="1"/>
    </row>
    <row r="938">
      <c r="A938" s="1"/>
      <c r="B938" s="1"/>
      <c r="C938" s="75"/>
      <c r="D938" s="1"/>
      <c r="E938" s="1"/>
      <c r="F938" s="1"/>
      <c r="G938" s="1"/>
      <c r="I938" s="1"/>
      <c r="J938" s="1"/>
    </row>
    <row r="939">
      <c r="A939" s="1"/>
      <c r="B939" s="1"/>
      <c r="C939" s="75"/>
      <c r="D939" s="1"/>
      <c r="E939" s="1"/>
      <c r="F939" s="1"/>
      <c r="G939" s="1"/>
      <c r="I939" s="1"/>
      <c r="J939" s="1"/>
    </row>
    <row r="940">
      <c r="A940" s="1"/>
      <c r="B940" s="1"/>
      <c r="C940" s="75"/>
      <c r="D940" s="1"/>
      <c r="E940" s="1"/>
      <c r="F940" s="1"/>
      <c r="G940" s="1"/>
      <c r="I940" s="1"/>
      <c r="J940" s="1"/>
    </row>
    <row r="941">
      <c r="A941" s="1"/>
      <c r="B941" s="1"/>
      <c r="C941" s="75"/>
      <c r="D941" s="1"/>
      <c r="E941" s="1"/>
      <c r="F941" s="1"/>
      <c r="G941" s="1"/>
      <c r="I941" s="1"/>
      <c r="J941" s="1"/>
    </row>
    <row r="942">
      <c r="A942" s="1"/>
      <c r="B942" s="1"/>
      <c r="C942" s="75"/>
      <c r="D942" s="1"/>
      <c r="E942" s="1"/>
      <c r="F942" s="1"/>
      <c r="G942" s="1"/>
      <c r="I942" s="1"/>
      <c r="J942" s="1"/>
    </row>
    <row r="943">
      <c r="A943" s="1"/>
      <c r="B943" s="1"/>
      <c r="C943" s="75"/>
      <c r="D943" s="1"/>
      <c r="E943" s="1"/>
      <c r="F943" s="1"/>
      <c r="G943" s="1"/>
      <c r="I943" s="1"/>
      <c r="J943" s="1"/>
    </row>
    <row r="944">
      <c r="A944" s="1"/>
      <c r="B944" s="1"/>
      <c r="C944" s="75"/>
      <c r="D944" s="1"/>
      <c r="E944" s="1"/>
      <c r="F944" s="1"/>
      <c r="G944" s="1"/>
      <c r="I944" s="1"/>
      <c r="J944" s="1"/>
    </row>
    <row r="945">
      <c r="A945" s="1"/>
      <c r="B945" s="1"/>
      <c r="C945" s="75"/>
      <c r="D945" s="1"/>
      <c r="E945" s="1"/>
      <c r="F945" s="1"/>
      <c r="G945" s="1"/>
      <c r="I945" s="1"/>
      <c r="J945" s="1"/>
    </row>
    <row r="946">
      <c r="A946" s="1"/>
      <c r="B946" s="1"/>
      <c r="C946" s="75"/>
      <c r="D946" s="1"/>
      <c r="E946" s="1"/>
      <c r="F946" s="1"/>
      <c r="G946" s="1"/>
      <c r="I946" s="1"/>
      <c r="J946" s="1"/>
    </row>
    <row r="947">
      <c r="A947" s="1"/>
      <c r="B947" s="1"/>
      <c r="C947" s="75"/>
      <c r="D947" s="1"/>
      <c r="E947" s="1"/>
      <c r="F947" s="1"/>
      <c r="G947" s="1"/>
      <c r="I947" s="1"/>
      <c r="J947" s="1"/>
    </row>
    <row r="948">
      <c r="A948" s="1"/>
      <c r="B948" s="1"/>
      <c r="C948" s="75"/>
      <c r="D948" s="1"/>
      <c r="E948" s="1"/>
      <c r="F948" s="1"/>
      <c r="G948" s="1"/>
      <c r="I948" s="1"/>
      <c r="J948" s="1"/>
    </row>
    <row r="949">
      <c r="A949" s="1"/>
      <c r="B949" s="1"/>
      <c r="C949" s="75"/>
      <c r="D949" s="1"/>
      <c r="E949" s="1"/>
      <c r="F949" s="1"/>
      <c r="G949" s="1"/>
      <c r="I949" s="1"/>
      <c r="J949" s="1"/>
    </row>
    <row r="950">
      <c r="A950" s="1"/>
      <c r="B950" s="1"/>
      <c r="C950" s="75"/>
      <c r="D950" s="1"/>
      <c r="E950" s="1"/>
      <c r="F950" s="1"/>
      <c r="G950" s="1"/>
      <c r="I950" s="1"/>
      <c r="J950" s="1"/>
    </row>
    <row r="951">
      <c r="A951" s="1"/>
      <c r="B951" s="1"/>
      <c r="C951" s="75"/>
      <c r="D951" s="1"/>
      <c r="E951" s="1"/>
      <c r="F951" s="1"/>
      <c r="G951" s="1"/>
      <c r="I951" s="1"/>
      <c r="J951" s="1"/>
    </row>
    <row r="952">
      <c r="A952" s="1"/>
      <c r="B952" s="1"/>
      <c r="C952" s="75"/>
      <c r="D952" s="1"/>
      <c r="E952" s="1"/>
      <c r="F952" s="1"/>
      <c r="G952" s="1"/>
      <c r="I952" s="1"/>
      <c r="J952" s="1"/>
    </row>
    <row r="953">
      <c r="A953" s="1"/>
      <c r="B953" s="1"/>
      <c r="C953" s="75"/>
      <c r="D953" s="1"/>
      <c r="E953" s="1"/>
      <c r="F953" s="1"/>
      <c r="G953" s="1"/>
      <c r="I953" s="1"/>
      <c r="J953" s="1"/>
    </row>
    <row r="954">
      <c r="A954" s="1"/>
      <c r="B954" s="1"/>
      <c r="C954" s="75"/>
      <c r="D954" s="1"/>
      <c r="E954" s="1"/>
      <c r="F954" s="1"/>
      <c r="G954" s="1"/>
      <c r="I954" s="1"/>
      <c r="J954" s="1"/>
    </row>
    <row r="955">
      <c r="A955" s="1"/>
      <c r="B955" s="1"/>
      <c r="C955" s="75"/>
      <c r="D955" s="1"/>
      <c r="E955" s="1"/>
      <c r="F955" s="1"/>
      <c r="G955" s="1"/>
      <c r="I955" s="1"/>
      <c r="J955" s="1"/>
    </row>
    <row r="956">
      <c r="A956" s="1"/>
      <c r="B956" s="1"/>
      <c r="C956" s="75"/>
      <c r="D956" s="1"/>
      <c r="E956" s="1"/>
      <c r="F956" s="1"/>
      <c r="G956" s="1"/>
      <c r="I956" s="1"/>
      <c r="J956" s="1"/>
    </row>
    <row r="957">
      <c r="A957" s="1"/>
      <c r="B957" s="1"/>
      <c r="C957" s="75"/>
      <c r="D957" s="1"/>
      <c r="E957" s="1"/>
      <c r="F957" s="1"/>
      <c r="G957" s="1"/>
      <c r="I957" s="1"/>
      <c r="J957" s="1"/>
    </row>
    <row r="958">
      <c r="A958" s="1"/>
      <c r="B958" s="1"/>
      <c r="C958" s="75"/>
      <c r="D958" s="1"/>
      <c r="E958" s="1"/>
      <c r="F958" s="1"/>
      <c r="G958" s="1"/>
      <c r="I958" s="1"/>
      <c r="J958" s="1"/>
    </row>
    <row r="959">
      <c r="A959" s="1"/>
      <c r="B959" s="1"/>
      <c r="C959" s="75"/>
      <c r="D959" s="1"/>
      <c r="E959" s="1"/>
      <c r="F959" s="1"/>
      <c r="G959" s="1"/>
      <c r="I959" s="1"/>
      <c r="J959" s="1"/>
    </row>
    <row r="960">
      <c r="A960" s="1"/>
      <c r="B960" s="1"/>
      <c r="C960" s="75"/>
      <c r="D960" s="1"/>
      <c r="E960" s="1"/>
      <c r="F960" s="1"/>
      <c r="G960" s="1"/>
      <c r="I960" s="1"/>
      <c r="J960" s="1"/>
    </row>
    <row r="961">
      <c r="A961" s="1"/>
      <c r="B961" s="1"/>
      <c r="C961" s="75"/>
      <c r="D961" s="1"/>
      <c r="E961" s="1"/>
      <c r="F961" s="1"/>
      <c r="G961" s="1"/>
      <c r="I961" s="1"/>
      <c r="J961" s="1"/>
    </row>
    <row r="962">
      <c r="A962" s="1"/>
      <c r="B962" s="1"/>
      <c r="C962" s="75"/>
      <c r="D962" s="1"/>
      <c r="E962" s="1"/>
      <c r="F962" s="1"/>
      <c r="G962" s="1"/>
      <c r="I962" s="1"/>
      <c r="J962" s="1"/>
    </row>
    <row r="963">
      <c r="A963" s="1"/>
      <c r="B963" s="1"/>
      <c r="C963" s="75"/>
      <c r="D963" s="1"/>
      <c r="E963" s="1"/>
      <c r="F963" s="1"/>
      <c r="G963" s="1"/>
      <c r="I963" s="1"/>
      <c r="J963" s="1"/>
    </row>
    <row r="964">
      <c r="A964" s="1"/>
      <c r="B964" s="1"/>
      <c r="C964" s="75"/>
      <c r="D964" s="1"/>
      <c r="E964" s="1"/>
      <c r="F964" s="1"/>
      <c r="G964" s="1"/>
      <c r="I964" s="1"/>
      <c r="J964" s="1"/>
    </row>
    <row r="965">
      <c r="A965" s="1"/>
      <c r="B965" s="1"/>
      <c r="C965" s="75"/>
      <c r="D965" s="1"/>
      <c r="E965" s="1"/>
      <c r="F965" s="1"/>
      <c r="G965" s="1"/>
      <c r="I965" s="1"/>
      <c r="J965" s="1"/>
    </row>
    <row r="966">
      <c r="A966" s="1"/>
      <c r="B966" s="1"/>
      <c r="C966" s="75"/>
      <c r="D966" s="1"/>
      <c r="E966" s="1"/>
      <c r="F966" s="1"/>
      <c r="G966" s="1"/>
      <c r="I966" s="1"/>
      <c r="J966" s="1"/>
    </row>
    <row r="967">
      <c r="A967" s="1"/>
      <c r="B967" s="1"/>
      <c r="C967" s="75"/>
      <c r="D967" s="1"/>
      <c r="E967" s="1"/>
      <c r="F967" s="1"/>
      <c r="G967" s="1"/>
      <c r="I967" s="1"/>
      <c r="J967" s="1"/>
    </row>
    <row r="968">
      <c r="A968" s="1"/>
      <c r="B968" s="1"/>
      <c r="C968" s="75"/>
      <c r="D968" s="1"/>
      <c r="E968" s="1"/>
      <c r="F968" s="1"/>
      <c r="G968" s="1"/>
      <c r="I968" s="1"/>
      <c r="J968" s="1"/>
    </row>
    <row r="969">
      <c r="A969" s="1"/>
      <c r="B969" s="1"/>
      <c r="C969" s="75"/>
      <c r="D969" s="1"/>
      <c r="E969" s="1"/>
      <c r="F969" s="1"/>
      <c r="G969" s="1"/>
      <c r="I969" s="1"/>
      <c r="J969" s="1"/>
    </row>
    <row r="970">
      <c r="A970" s="1"/>
      <c r="B970" s="1"/>
      <c r="C970" s="75"/>
      <c r="D970" s="1"/>
      <c r="E970" s="1"/>
      <c r="F970" s="1"/>
      <c r="G970" s="1"/>
      <c r="I970" s="1"/>
      <c r="J970" s="1"/>
    </row>
    <row r="971">
      <c r="A971" s="1"/>
      <c r="B971" s="1"/>
      <c r="C971" s="75"/>
      <c r="D971" s="1"/>
      <c r="E971" s="1"/>
      <c r="F971" s="1"/>
      <c r="G971" s="1"/>
      <c r="I971" s="1"/>
      <c r="J971" s="1"/>
    </row>
    <row r="972">
      <c r="A972" s="1"/>
      <c r="B972" s="1"/>
      <c r="C972" s="75"/>
      <c r="D972" s="1"/>
      <c r="E972" s="1"/>
      <c r="F972" s="1"/>
      <c r="G972" s="1"/>
      <c r="I972" s="1"/>
      <c r="J972" s="1"/>
    </row>
    <row r="973">
      <c r="A973" s="1"/>
      <c r="B973" s="1"/>
      <c r="C973" s="75"/>
      <c r="D973" s="1"/>
      <c r="E973" s="1"/>
      <c r="F973" s="1"/>
      <c r="G973" s="1"/>
      <c r="I973" s="1"/>
      <c r="J973" s="1"/>
    </row>
    <row r="974">
      <c r="A974" s="1"/>
      <c r="B974" s="1"/>
      <c r="C974" s="75"/>
      <c r="D974" s="1"/>
      <c r="E974" s="1"/>
      <c r="F974" s="1"/>
      <c r="G974" s="1"/>
      <c r="I974" s="1"/>
      <c r="J974" s="1"/>
    </row>
    <row r="975">
      <c r="A975" s="1"/>
      <c r="B975" s="1"/>
      <c r="C975" s="75"/>
      <c r="D975" s="1"/>
      <c r="E975" s="1"/>
      <c r="F975" s="1"/>
      <c r="G975" s="1"/>
      <c r="I975" s="1"/>
      <c r="J975" s="1"/>
    </row>
    <row r="976">
      <c r="A976" s="1"/>
      <c r="B976" s="1"/>
      <c r="C976" s="75"/>
      <c r="D976" s="1"/>
      <c r="E976" s="1"/>
      <c r="F976" s="1"/>
      <c r="G976" s="1"/>
      <c r="I976" s="1"/>
      <c r="J976" s="1"/>
    </row>
    <row r="977">
      <c r="A977" s="1"/>
      <c r="B977" s="1"/>
      <c r="C977" s="75"/>
      <c r="D977" s="1"/>
      <c r="E977" s="1"/>
      <c r="F977" s="1"/>
      <c r="G977" s="1"/>
      <c r="I977" s="1"/>
      <c r="J977" s="1"/>
    </row>
    <row r="978">
      <c r="A978" s="1"/>
      <c r="B978" s="1"/>
      <c r="C978" s="75"/>
      <c r="D978" s="1"/>
      <c r="E978" s="1"/>
      <c r="F978" s="1"/>
      <c r="G978" s="1"/>
      <c r="I978" s="1"/>
      <c r="J978" s="1"/>
    </row>
    <row r="979">
      <c r="A979" s="1"/>
      <c r="B979" s="1"/>
      <c r="C979" s="75"/>
      <c r="D979" s="1"/>
      <c r="E979" s="1"/>
      <c r="F979" s="1"/>
      <c r="G979" s="1"/>
      <c r="I979" s="1"/>
      <c r="J979" s="1"/>
    </row>
    <row r="980">
      <c r="A980" s="1"/>
      <c r="B980" s="1"/>
      <c r="C980" s="75"/>
      <c r="D980" s="1"/>
      <c r="E980" s="1"/>
      <c r="F980" s="1"/>
      <c r="G980" s="1"/>
      <c r="I980" s="1"/>
      <c r="J980" s="1"/>
    </row>
    <row r="981">
      <c r="A981" s="1"/>
      <c r="B981" s="1"/>
      <c r="C981" s="75"/>
      <c r="D981" s="1"/>
      <c r="E981" s="1"/>
      <c r="F981" s="1"/>
      <c r="G981" s="1"/>
      <c r="I981" s="1"/>
      <c r="J981" s="1"/>
    </row>
    <row r="982">
      <c r="A982" s="1"/>
      <c r="B982" s="1"/>
      <c r="C982" s="75"/>
      <c r="D982" s="1"/>
      <c r="E982" s="1"/>
      <c r="F982" s="1"/>
      <c r="G982" s="1"/>
      <c r="I982" s="1"/>
      <c r="J982" s="1"/>
    </row>
    <row r="983">
      <c r="A983" s="1"/>
      <c r="B983" s="1"/>
      <c r="C983" s="75"/>
      <c r="D983" s="1"/>
      <c r="E983" s="1"/>
      <c r="F983" s="1"/>
      <c r="G983" s="1"/>
      <c r="I983" s="1"/>
      <c r="J983" s="1"/>
    </row>
    <row r="984">
      <c r="A984" s="1"/>
      <c r="B984" s="1"/>
      <c r="C984" s="75"/>
      <c r="D984" s="1"/>
      <c r="E984" s="1"/>
      <c r="F984" s="1"/>
      <c r="G984" s="1"/>
      <c r="I984" s="1"/>
      <c r="J984" s="1"/>
    </row>
    <row r="985">
      <c r="A985" s="1"/>
      <c r="B985" s="1"/>
      <c r="C985" s="75"/>
      <c r="D985" s="1"/>
      <c r="E985" s="1"/>
      <c r="F985" s="1"/>
      <c r="G985" s="1"/>
      <c r="I985" s="1"/>
      <c r="J985" s="1"/>
    </row>
    <row r="986">
      <c r="A986" s="1"/>
      <c r="B986" s="1"/>
      <c r="C986" s="75"/>
      <c r="D986" s="1"/>
      <c r="E986" s="1"/>
      <c r="F986" s="1"/>
      <c r="G986" s="1"/>
      <c r="I986" s="1"/>
      <c r="J986" s="1"/>
    </row>
    <row r="987">
      <c r="A987" s="1"/>
      <c r="B987" s="1"/>
      <c r="C987" s="75"/>
      <c r="D987" s="1"/>
      <c r="E987" s="1"/>
      <c r="F987" s="1"/>
      <c r="G987" s="1"/>
      <c r="I987" s="1"/>
      <c r="J987" s="1"/>
    </row>
    <row r="988">
      <c r="A988" s="1"/>
      <c r="B988" s="1"/>
      <c r="C988" s="75"/>
      <c r="D988" s="1"/>
      <c r="E988" s="1"/>
      <c r="F988" s="1"/>
      <c r="G988" s="1"/>
      <c r="I988" s="1"/>
      <c r="J988" s="1"/>
    </row>
    <row r="989">
      <c r="A989" s="1"/>
      <c r="B989" s="1"/>
      <c r="C989" s="75"/>
      <c r="D989" s="1"/>
      <c r="E989" s="1"/>
      <c r="F989" s="1"/>
      <c r="G989" s="1"/>
      <c r="I989" s="1"/>
      <c r="J989" s="1"/>
    </row>
    <row r="990">
      <c r="A990" s="1"/>
      <c r="B990" s="1"/>
      <c r="C990" s="75"/>
      <c r="D990" s="1"/>
      <c r="E990" s="1"/>
      <c r="F990" s="1"/>
      <c r="G990" s="1"/>
      <c r="I990" s="1"/>
      <c r="J990" s="1"/>
    </row>
    <row r="991">
      <c r="A991" s="1"/>
      <c r="B991" s="1"/>
      <c r="C991" s="75"/>
      <c r="D991" s="1"/>
      <c r="E991" s="1"/>
      <c r="F991" s="1"/>
      <c r="G991" s="1"/>
      <c r="I991" s="1"/>
      <c r="J991" s="1"/>
    </row>
    <row r="992">
      <c r="A992" s="1"/>
      <c r="B992" s="1"/>
      <c r="C992" s="75"/>
      <c r="D992" s="1"/>
      <c r="E992" s="1"/>
      <c r="F992" s="1"/>
      <c r="G992" s="1"/>
      <c r="I992" s="1"/>
      <c r="J992" s="1"/>
    </row>
    <row r="993">
      <c r="A993" s="1"/>
      <c r="B993" s="1"/>
      <c r="C993" s="75"/>
      <c r="D993" s="1"/>
      <c r="E993" s="1"/>
      <c r="F993" s="1"/>
      <c r="G993" s="1"/>
      <c r="I993" s="1"/>
      <c r="J993" s="1"/>
    </row>
    <row r="994">
      <c r="A994" s="1"/>
      <c r="B994" s="1"/>
      <c r="C994" s="75"/>
      <c r="D994" s="1"/>
      <c r="E994" s="1"/>
      <c r="F994" s="1"/>
      <c r="G994" s="1"/>
      <c r="I994" s="1"/>
      <c r="J994" s="1"/>
    </row>
    <row r="995">
      <c r="A995" s="1"/>
      <c r="B995" s="1"/>
      <c r="C995" s="75"/>
      <c r="D995" s="1"/>
      <c r="E995" s="1"/>
      <c r="F995" s="1"/>
      <c r="G995" s="1"/>
      <c r="I995" s="1"/>
      <c r="J995" s="1"/>
    </row>
    <row r="996">
      <c r="A996" s="1"/>
      <c r="B996" s="1"/>
      <c r="C996" s="75"/>
      <c r="D996" s="1"/>
      <c r="E996" s="1"/>
      <c r="F996" s="1"/>
      <c r="G996" s="1"/>
      <c r="I996" s="1"/>
      <c r="J996" s="1"/>
    </row>
    <row r="997">
      <c r="A997" s="1"/>
      <c r="B997" s="1"/>
      <c r="C997" s="75"/>
      <c r="D997" s="1"/>
      <c r="E997" s="1"/>
      <c r="F997" s="1"/>
      <c r="G997" s="1"/>
      <c r="I997" s="1"/>
      <c r="J997" s="1"/>
    </row>
    <row r="998">
      <c r="A998" s="1"/>
      <c r="B998" s="1"/>
      <c r="C998" s="75"/>
      <c r="D998" s="1"/>
      <c r="E998" s="1"/>
      <c r="F998" s="1"/>
      <c r="G998" s="1"/>
      <c r="I998" s="1"/>
      <c r="J998" s="1"/>
    </row>
    <row r="999">
      <c r="A999" s="1"/>
      <c r="B999" s="1"/>
      <c r="C999" s="75"/>
      <c r="D999" s="1"/>
      <c r="E999" s="1"/>
      <c r="F999" s="1"/>
      <c r="G999" s="1"/>
      <c r="I999" s="1"/>
      <c r="J999" s="1"/>
    </row>
    <row r="1000">
      <c r="A1000" s="1"/>
      <c r="B1000" s="1"/>
      <c r="C1000" s="75"/>
      <c r="D1000" s="1"/>
      <c r="E1000" s="1"/>
      <c r="F1000" s="1"/>
      <c r="G1000" s="1"/>
      <c r="I1000" s="1"/>
      <c r="J1000" s="1"/>
    </row>
    <row r="1001">
      <c r="A1001" s="1"/>
      <c r="B1001" s="1"/>
      <c r="C1001" s="75"/>
      <c r="D1001" s="1"/>
      <c r="E1001" s="1"/>
      <c r="F1001" s="1"/>
      <c r="G1001" s="1"/>
      <c r="I1001" s="1"/>
      <c r="J1001" s="1"/>
    </row>
    <row r="1002">
      <c r="A1002" s="1"/>
      <c r="B1002" s="1"/>
      <c r="C1002" s="75"/>
      <c r="D1002" s="1"/>
      <c r="E1002" s="1"/>
      <c r="F1002" s="1"/>
      <c r="G1002" s="1"/>
      <c r="I1002" s="1"/>
      <c r="J1002" s="1"/>
    </row>
    <row r="1003">
      <c r="A1003" s="1"/>
      <c r="B1003" s="1"/>
      <c r="C1003" s="75"/>
      <c r="D1003" s="1"/>
      <c r="E1003" s="1"/>
      <c r="F1003" s="1"/>
      <c r="G1003" s="1"/>
      <c r="I1003" s="1"/>
      <c r="J1003" s="1"/>
    </row>
    <row r="1004">
      <c r="A1004" s="1"/>
      <c r="B1004" s="1"/>
      <c r="C1004" s="75"/>
      <c r="D1004" s="1"/>
      <c r="E1004" s="1"/>
      <c r="F1004" s="1"/>
      <c r="G1004" s="1"/>
      <c r="I1004" s="1"/>
      <c r="J1004" s="1"/>
    </row>
    <row r="1005">
      <c r="A1005" s="1"/>
      <c r="B1005" s="1"/>
      <c r="C1005" s="75"/>
      <c r="D1005" s="1"/>
      <c r="E1005" s="1"/>
      <c r="F1005" s="1"/>
      <c r="G1005" s="1"/>
      <c r="I1005" s="1"/>
      <c r="J1005" s="1"/>
    </row>
    <row r="1006">
      <c r="A1006" s="1"/>
      <c r="B1006" s="1"/>
      <c r="C1006" s="75"/>
      <c r="D1006" s="1"/>
      <c r="E1006" s="1"/>
      <c r="F1006" s="1"/>
      <c r="G1006" s="1"/>
      <c r="I1006" s="1"/>
      <c r="J1006" s="1"/>
    </row>
    <row r="1007">
      <c r="A1007" s="1"/>
      <c r="B1007" s="1"/>
      <c r="C1007" s="75"/>
      <c r="D1007" s="1"/>
      <c r="E1007" s="1"/>
      <c r="F1007" s="1"/>
      <c r="G1007" s="1"/>
      <c r="I1007" s="1"/>
      <c r="J1007" s="1"/>
    </row>
    <row r="1008">
      <c r="A1008" s="1"/>
      <c r="B1008" s="1"/>
      <c r="C1008" s="75"/>
      <c r="D1008" s="1"/>
      <c r="E1008" s="1"/>
      <c r="F1008" s="1"/>
      <c r="G1008" s="1"/>
      <c r="I1008" s="1"/>
      <c r="J1008" s="1"/>
    </row>
    <row r="1009">
      <c r="A1009" s="1"/>
      <c r="B1009" s="1"/>
      <c r="C1009" s="75"/>
      <c r="D1009" s="1"/>
      <c r="E1009" s="1"/>
      <c r="F1009" s="1"/>
      <c r="G1009" s="1"/>
      <c r="I1009" s="1"/>
      <c r="J1009" s="1"/>
    </row>
    <row r="1010">
      <c r="A1010" s="1"/>
      <c r="B1010" s="1"/>
      <c r="C1010" s="75"/>
      <c r="D1010" s="1"/>
      <c r="E1010" s="1"/>
      <c r="F1010" s="1"/>
      <c r="G1010" s="1"/>
      <c r="I1010" s="1"/>
      <c r="J1010" s="1"/>
    </row>
    <row r="1011">
      <c r="A1011" s="1"/>
      <c r="B1011" s="1"/>
      <c r="C1011" s="75"/>
      <c r="D1011" s="1"/>
      <c r="E1011" s="1"/>
      <c r="F1011" s="1"/>
      <c r="G1011" s="1"/>
      <c r="I1011" s="1"/>
      <c r="J1011" s="1"/>
    </row>
    <row r="1012">
      <c r="A1012" s="1"/>
      <c r="B1012" s="1"/>
      <c r="C1012" s="75"/>
      <c r="D1012" s="1"/>
      <c r="E1012" s="1"/>
      <c r="F1012" s="1"/>
      <c r="G1012" s="1"/>
      <c r="I1012" s="1"/>
      <c r="J1012" s="1"/>
    </row>
    <row r="1013">
      <c r="A1013" s="1"/>
      <c r="B1013" s="1"/>
      <c r="C1013" s="75"/>
      <c r="D1013" s="1"/>
      <c r="E1013" s="1"/>
      <c r="F1013" s="1"/>
      <c r="G1013" s="1"/>
      <c r="I1013" s="1"/>
      <c r="J1013" s="1"/>
    </row>
    <row r="1014">
      <c r="A1014" s="1"/>
      <c r="B1014" s="1"/>
      <c r="C1014" s="75"/>
      <c r="D1014" s="1"/>
      <c r="E1014" s="1"/>
      <c r="F1014" s="1"/>
      <c r="G1014" s="1"/>
      <c r="I1014" s="1"/>
      <c r="J1014" s="1"/>
    </row>
    <row r="1015">
      <c r="A1015" s="1"/>
      <c r="B1015" s="1"/>
      <c r="C1015" s="75"/>
      <c r="D1015" s="1"/>
      <c r="E1015" s="1"/>
      <c r="F1015" s="1"/>
      <c r="G1015" s="1"/>
      <c r="I1015" s="1"/>
      <c r="J1015" s="1"/>
    </row>
    <row r="1016">
      <c r="A1016" s="1"/>
      <c r="B1016" s="1"/>
      <c r="C1016" s="75"/>
      <c r="D1016" s="1"/>
      <c r="E1016" s="1"/>
      <c r="F1016" s="1"/>
      <c r="G1016" s="1"/>
      <c r="I1016" s="1"/>
      <c r="J1016" s="1"/>
    </row>
    <row r="1017">
      <c r="A1017" s="1"/>
      <c r="B1017" s="1"/>
      <c r="C1017" s="75"/>
      <c r="D1017" s="1"/>
      <c r="E1017" s="1"/>
      <c r="F1017" s="1"/>
      <c r="G1017" s="1"/>
      <c r="I1017" s="1"/>
      <c r="J1017" s="1"/>
    </row>
    <row r="1018">
      <c r="A1018" s="1"/>
      <c r="B1018" s="1"/>
      <c r="C1018" s="75"/>
      <c r="D1018" s="1"/>
      <c r="E1018" s="1"/>
      <c r="F1018" s="1"/>
      <c r="G1018" s="1"/>
      <c r="I1018" s="1"/>
      <c r="J1018" s="1"/>
    </row>
    <row r="1019">
      <c r="A1019" s="1"/>
      <c r="B1019" s="1"/>
      <c r="C1019" s="75"/>
      <c r="D1019" s="1"/>
      <c r="E1019" s="1"/>
      <c r="F1019" s="1"/>
      <c r="G1019" s="1"/>
      <c r="I1019" s="1"/>
      <c r="J1019" s="1"/>
    </row>
    <row r="1020">
      <c r="A1020" s="1"/>
      <c r="B1020" s="1"/>
      <c r="C1020" s="75"/>
      <c r="D1020" s="1"/>
      <c r="E1020" s="1"/>
      <c r="F1020" s="1"/>
      <c r="G1020" s="1"/>
      <c r="I1020" s="1"/>
      <c r="J1020" s="1"/>
    </row>
    <row r="1021">
      <c r="A1021" s="1"/>
      <c r="B1021" s="1"/>
      <c r="C1021" s="75"/>
      <c r="D1021" s="1"/>
      <c r="E1021" s="75"/>
      <c r="F1021" s="75"/>
      <c r="G1021" s="1"/>
      <c r="I1021" s="1"/>
      <c r="J1021" s="1"/>
    </row>
    <row r="1022">
      <c r="A1022" s="1"/>
      <c r="B1022" s="1"/>
      <c r="C1022" s="75"/>
      <c r="D1022" s="1"/>
      <c r="E1022" s="75"/>
      <c r="F1022" s="75"/>
      <c r="G1022" s="1"/>
      <c r="I1022" s="1"/>
      <c r="J1022" s="1"/>
    </row>
    <row r="1023">
      <c r="A1023" s="1"/>
      <c r="B1023" s="1"/>
      <c r="C1023" s="75"/>
      <c r="D1023" s="1"/>
      <c r="E1023" s="75"/>
      <c r="F1023" s="75"/>
      <c r="G1023" s="1"/>
      <c r="I1023" s="1"/>
      <c r="J1023" s="1"/>
    </row>
    <row r="1024">
      <c r="A1024" s="1"/>
      <c r="B1024" s="1"/>
      <c r="C1024" s="75"/>
      <c r="D1024" s="1"/>
      <c r="E1024" s="75"/>
      <c r="F1024" s="75"/>
      <c r="G1024" s="1"/>
      <c r="I1024" s="1"/>
      <c r="J1024" s="1"/>
    </row>
    <row r="1025">
      <c r="A1025" s="1"/>
      <c r="B1025" s="1"/>
      <c r="C1025" s="75"/>
      <c r="D1025" s="1"/>
      <c r="E1025" s="75"/>
      <c r="F1025" s="75"/>
      <c r="G1025" s="1"/>
      <c r="I1025" s="1"/>
      <c r="J1025" s="1"/>
    </row>
    <row r="1026">
      <c r="A1026" s="1"/>
      <c r="B1026" s="1"/>
      <c r="C1026" s="75"/>
      <c r="D1026" s="1"/>
      <c r="E1026" s="75"/>
      <c r="F1026" s="75"/>
      <c r="G1026" s="1"/>
      <c r="I1026" s="1"/>
      <c r="J1026" s="1"/>
    </row>
    <row r="1027">
      <c r="A1027" s="1"/>
      <c r="B1027" s="1"/>
      <c r="C1027" s="75"/>
      <c r="D1027" s="1"/>
      <c r="E1027" s="75"/>
      <c r="F1027" s="75"/>
      <c r="G1027" s="1"/>
      <c r="I1027" s="1"/>
      <c r="J1027" s="1"/>
    </row>
    <row r="1028">
      <c r="A1028" s="1"/>
      <c r="B1028" s="1"/>
      <c r="C1028" s="75"/>
      <c r="D1028" s="1"/>
      <c r="E1028" s="75"/>
      <c r="F1028" s="75"/>
      <c r="G1028" s="1"/>
      <c r="I1028" s="1"/>
      <c r="J1028" s="1"/>
    </row>
    <row r="1029">
      <c r="A1029" s="1"/>
      <c r="B1029" s="1"/>
      <c r="C1029" s="75"/>
      <c r="D1029" s="1"/>
      <c r="E1029" s="75"/>
      <c r="F1029" s="75"/>
      <c r="G1029" s="1"/>
      <c r="I1029" s="1"/>
      <c r="J1029" s="1"/>
    </row>
    <row r="1030">
      <c r="A1030" s="1"/>
      <c r="B1030" s="1"/>
      <c r="C1030" s="75"/>
      <c r="D1030" s="1"/>
      <c r="E1030" s="75"/>
      <c r="F1030" s="75"/>
      <c r="G1030" s="1"/>
      <c r="I1030" s="1"/>
      <c r="J1030" s="1"/>
    </row>
    <row r="1031">
      <c r="A1031" s="1"/>
      <c r="B1031" s="1"/>
      <c r="C1031" s="75"/>
      <c r="D1031" s="1"/>
      <c r="E1031" s="75"/>
      <c r="F1031" s="75"/>
      <c r="G1031" s="1"/>
      <c r="I1031" s="1"/>
      <c r="J1031" s="1"/>
    </row>
    <row r="1032">
      <c r="A1032" s="1"/>
      <c r="B1032" s="1"/>
      <c r="C1032" s="75"/>
      <c r="D1032" s="1"/>
      <c r="E1032" s="75"/>
      <c r="F1032" s="75"/>
      <c r="G1032" s="1"/>
      <c r="I1032" s="1"/>
      <c r="J1032" s="1"/>
    </row>
    <row r="1033">
      <c r="A1033" s="1"/>
      <c r="B1033" s="1"/>
      <c r="C1033" s="75"/>
      <c r="D1033" s="75"/>
      <c r="E1033" s="75"/>
      <c r="F1033" s="75"/>
      <c r="G1033" s="1"/>
      <c r="I1033" s="1"/>
      <c r="J1033" s="1"/>
    </row>
    <row r="1034">
      <c r="A1034" s="1"/>
      <c r="B1034" s="1"/>
      <c r="C1034" s="75"/>
      <c r="D1034" s="75"/>
      <c r="E1034" s="75"/>
      <c r="F1034" s="75"/>
      <c r="G1034" s="1"/>
      <c r="I1034" s="1"/>
      <c r="J1034" s="1"/>
    </row>
    <row r="1035">
      <c r="A1035" s="1"/>
      <c r="B1035" s="1"/>
      <c r="C1035" s="75"/>
      <c r="D1035" s="75"/>
      <c r="E1035" s="75"/>
      <c r="F1035" s="75"/>
      <c r="G1035" s="1"/>
      <c r="I1035" s="1"/>
      <c r="J1035" s="1"/>
    </row>
    <row r="1036">
      <c r="A1036" s="1"/>
      <c r="B1036" s="1"/>
      <c r="C1036" s="75"/>
      <c r="D1036" s="75"/>
      <c r="E1036" s="75"/>
      <c r="F1036" s="75"/>
      <c r="G1036" s="75"/>
      <c r="I1036" s="1"/>
      <c r="J1036" s="1"/>
    </row>
    <row r="1037">
      <c r="A1037" s="1"/>
      <c r="B1037" s="1"/>
      <c r="C1037" s="75"/>
      <c r="D1037" s="75"/>
      <c r="E1037" s="75"/>
      <c r="F1037" s="75"/>
      <c r="G1037" s="75"/>
      <c r="I1037" s="1"/>
      <c r="J1037" s="1"/>
    </row>
    <row r="1038">
      <c r="A1038" s="1"/>
      <c r="B1038" s="1"/>
      <c r="C1038" s="75"/>
      <c r="D1038" s="75"/>
      <c r="E1038" s="75"/>
      <c r="F1038" s="75"/>
      <c r="G1038" s="75"/>
      <c r="I1038" s="1"/>
      <c r="J1038" s="1"/>
    </row>
    <row r="1039">
      <c r="A1039" s="1"/>
      <c r="B1039" s="1"/>
      <c r="C1039" s="75"/>
      <c r="D1039" s="75"/>
      <c r="E1039" s="75"/>
      <c r="F1039" s="75"/>
      <c r="G1039" s="75"/>
      <c r="I1039" s="1"/>
      <c r="J1039" s="1"/>
    </row>
    <row r="1040">
      <c r="A1040" s="1"/>
      <c r="B1040" s="1"/>
      <c r="C1040" s="75"/>
      <c r="D1040" s="75"/>
      <c r="E1040" s="75"/>
      <c r="F1040" s="75"/>
      <c r="G1040" s="75"/>
      <c r="I1040" s="1"/>
      <c r="J1040" s="1"/>
    </row>
    <row r="1041">
      <c r="A1041" s="1"/>
      <c r="B1041" s="1"/>
      <c r="C1041" s="75"/>
      <c r="D1041" s="75"/>
      <c r="E1041" s="75"/>
      <c r="F1041" s="75"/>
      <c r="G1041" s="75"/>
      <c r="I1041" s="1"/>
      <c r="J1041" s="1"/>
    </row>
    <row r="1042">
      <c r="A1042" s="1"/>
      <c r="B1042" s="1"/>
      <c r="C1042" s="75"/>
      <c r="D1042" s="75"/>
      <c r="E1042" s="75"/>
      <c r="F1042" s="75"/>
      <c r="G1042" s="75"/>
      <c r="I1042" s="1"/>
      <c r="J1042" s="1"/>
    </row>
    <row r="1043">
      <c r="A1043" s="1"/>
      <c r="B1043" s="1"/>
      <c r="C1043" s="75"/>
      <c r="D1043" s="75"/>
      <c r="E1043" s="75"/>
      <c r="F1043" s="75"/>
      <c r="G1043" s="75"/>
      <c r="I1043" s="1"/>
      <c r="J1043" s="1"/>
    </row>
    <row r="1044">
      <c r="A1044" s="1"/>
      <c r="B1044" s="1"/>
      <c r="C1044" s="75"/>
      <c r="D1044" s="75"/>
      <c r="E1044" s="75"/>
      <c r="F1044" s="75"/>
      <c r="G1044" s="75"/>
      <c r="I1044" s="1"/>
      <c r="J1044" s="1"/>
    </row>
    <row r="1045">
      <c r="A1045" s="1"/>
      <c r="B1045" s="1"/>
      <c r="C1045" s="75"/>
      <c r="D1045" s="75"/>
      <c r="E1045" s="75"/>
      <c r="F1045" s="75"/>
      <c r="G1045" s="75"/>
      <c r="I1045" s="1"/>
      <c r="J1045" s="1"/>
    </row>
    <row r="1046">
      <c r="A1046" s="1"/>
      <c r="B1046" s="1"/>
      <c r="C1046" s="75"/>
      <c r="D1046" s="75"/>
      <c r="E1046" s="75"/>
      <c r="F1046" s="75"/>
      <c r="G1046" s="75"/>
      <c r="I1046" s="1"/>
      <c r="J1046" s="1"/>
    </row>
    <row r="1047">
      <c r="A1047" s="1"/>
      <c r="B1047" s="1"/>
      <c r="C1047" s="75"/>
      <c r="D1047" s="75"/>
      <c r="E1047" s="75"/>
      <c r="F1047" s="75"/>
      <c r="G1047" s="75"/>
      <c r="I1047" s="1"/>
      <c r="J1047" s="1"/>
    </row>
    <row r="1048">
      <c r="A1048" s="1"/>
      <c r="B1048" s="1"/>
      <c r="C1048" s="75"/>
      <c r="D1048" s="75"/>
      <c r="E1048" s="75"/>
      <c r="F1048" s="75"/>
      <c r="G1048" s="75"/>
      <c r="I1048" s="1"/>
      <c r="J1048" s="1"/>
    </row>
    <row r="1049">
      <c r="A1049" s="1"/>
      <c r="B1049" s="1"/>
      <c r="C1049" s="75"/>
      <c r="D1049" s="75"/>
      <c r="E1049" s="75"/>
      <c r="F1049" s="75"/>
      <c r="G1049" s="75"/>
      <c r="I1049" s="1"/>
      <c r="J1049" s="1"/>
    </row>
    <row r="1050">
      <c r="A1050" s="1"/>
      <c r="B1050" s="1"/>
      <c r="C1050" s="75"/>
      <c r="D1050" s="75"/>
      <c r="E1050" s="75"/>
      <c r="F1050" s="75"/>
      <c r="G1050" s="75"/>
      <c r="I1050" s="1"/>
      <c r="J1050" s="1"/>
    </row>
    <row r="1051">
      <c r="A1051" s="1"/>
      <c r="B1051" s="1"/>
      <c r="C1051" s="75"/>
      <c r="D1051" s="75"/>
      <c r="E1051" s="75"/>
      <c r="F1051" s="75"/>
      <c r="G1051" s="75"/>
      <c r="I1051" s="1"/>
      <c r="J1051" s="1"/>
    </row>
    <row r="1052">
      <c r="A1052" s="1"/>
      <c r="B1052" s="1"/>
      <c r="C1052" s="75"/>
      <c r="D1052" s="75"/>
      <c r="E1052" s="75"/>
      <c r="F1052" s="75"/>
      <c r="G1052" s="75"/>
      <c r="I1052" s="1"/>
      <c r="J1052" s="1"/>
    </row>
    <row r="1053">
      <c r="A1053" s="1"/>
      <c r="B1053" s="1"/>
      <c r="C1053" s="75"/>
      <c r="D1053" s="75"/>
      <c r="E1053" s="75"/>
      <c r="F1053" s="75"/>
      <c r="G1053" s="75"/>
      <c r="I1053" s="1"/>
      <c r="J1053" s="1"/>
    </row>
    <row r="1054">
      <c r="A1054" s="1"/>
      <c r="B1054" s="1"/>
      <c r="C1054" s="75"/>
      <c r="D1054" s="75"/>
      <c r="E1054" s="75"/>
      <c r="F1054" s="75"/>
      <c r="G1054" s="75"/>
      <c r="I1054" s="1"/>
      <c r="J1054" s="1"/>
    </row>
    <row r="1055">
      <c r="A1055" s="1"/>
      <c r="B1055" s="1"/>
      <c r="C1055" s="75"/>
      <c r="D1055" s="75"/>
      <c r="E1055" s="75"/>
      <c r="F1055" s="75"/>
      <c r="G1055" s="75"/>
      <c r="I1055" s="1"/>
      <c r="J1055" s="1"/>
    </row>
    <row r="1056">
      <c r="A1056" s="1"/>
      <c r="B1056" s="1"/>
      <c r="C1056" s="75"/>
      <c r="D1056" s="75"/>
      <c r="E1056" s="75"/>
      <c r="F1056" s="75"/>
      <c r="G1056" s="75"/>
      <c r="I1056" s="1"/>
      <c r="J1056" s="1"/>
    </row>
    <row r="1057">
      <c r="A1057" s="1"/>
      <c r="B1057" s="1"/>
      <c r="C1057" s="75"/>
      <c r="D1057" s="75"/>
      <c r="E1057" s="75"/>
      <c r="F1057" s="75"/>
      <c r="G1057" s="75"/>
      <c r="I1057" s="1"/>
      <c r="J1057" s="1"/>
    </row>
    <row r="1058">
      <c r="A1058" s="1"/>
      <c r="B1058" s="1"/>
      <c r="C1058" s="75"/>
      <c r="D1058" s="75"/>
      <c r="E1058" s="75"/>
      <c r="F1058" s="75"/>
      <c r="G1058" s="75"/>
      <c r="I1058" s="1"/>
      <c r="J1058" s="1"/>
    </row>
    <row r="1059">
      <c r="A1059" s="1"/>
      <c r="B1059" s="1"/>
      <c r="C1059" s="75"/>
      <c r="D1059" s="75"/>
      <c r="E1059" s="75"/>
      <c r="F1059" s="75"/>
      <c r="G1059" s="75"/>
      <c r="I1059" s="1"/>
      <c r="J1059" s="1"/>
    </row>
    <row r="1060">
      <c r="A1060" s="1"/>
      <c r="B1060" s="1"/>
      <c r="C1060" s="75"/>
      <c r="D1060" s="75"/>
      <c r="E1060" s="75"/>
      <c r="F1060" s="75"/>
      <c r="G1060" s="75"/>
      <c r="H1060" s="75"/>
      <c r="I1060" s="1"/>
      <c r="J1060" s="1"/>
    </row>
    <row r="1061">
      <c r="A1061" s="1"/>
      <c r="B1061" s="1"/>
      <c r="C1061" s="75"/>
      <c r="D1061" s="75"/>
      <c r="E1061" s="75"/>
      <c r="F1061" s="75"/>
      <c r="G1061" s="75"/>
      <c r="H1061" s="75"/>
      <c r="I1061" s="1"/>
      <c r="J1061" s="1"/>
    </row>
    <row r="1062">
      <c r="A1062" s="1"/>
      <c r="B1062" s="1"/>
      <c r="C1062" s="75"/>
      <c r="D1062" s="75"/>
      <c r="E1062" s="75"/>
      <c r="F1062" s="75"/>
      <c r="G1062" s="75"/>
      <c r="H1062" s="75"/>
      <c r="I1062" s="1"/>
      <c r="J1062" s="1"/>
    </row>
    <row r="1063">
      <c r="A1063" s="1"/>
      <c r="B1063" s="1"/>
      <c r="C1063" s="75"/>
      <c r="D1063" s="75"/>
      <c r="E1063" s="75"/>
      <c r="F1063" s="75"/>
      <c r="G1063" s="75"/>
      <c r="H1063" s="75"/>
      <c r="I1063" s="1"/>
      <c r="J1063" s="1"/>
    </row>
    <row r="1064">
      <c r="A1064" s="1"/>
      <c r="B1064" s="1"/>
      <c r="C1064" s="75"/>
      <c r="D1064" s="75"/>
      <c r="E1064" s="75"/>
      <c r="F1064" s="75"/>
      <c r="G1064" s="75"/>
      <c r="H1064" s="75"/>
      <c r="I1064" s="1"/>
      <c r="J1064" s="1"/>
    </row>
    <row r="1065">
      <c r="A1065" s="1"/>
      <c r="B1065" s="1"/>
      <c r="C1065" s="75"/>
      <c r="D1065" s="75"/>
      <c r="E1065" s="75"/>
      <c r="F1065" s="75"/>
      <c r="G1065" s="75"/>
      <c r="H1065" s="75"/>
      <c r="I1065" s="1"/>
      <c r="J1065" s="1"/>
    </row>
    <row r="1066">
      <c r="A1066" s="1"/>
      <c r="B1066" s="1"/>
      <c r="C1066" s="75"/>
      <c r="D1066" s="75"/>
      <c r="E1066" s="75"/>
      <c r="F1066" s="75"/>
      <c r="G1066" s="75"/>
      <c r="H1066" s="75"/>
      <c r="I1066" s="1"/>
      <c r="J1066" s="1"/>
    </row>
    <row r="1067">
      <c r="A1067" s="1"/>
      <c r="B1067" s="1"/>
      <c r="C1067" s="75"/>
      <c r="D1067" s="75"/>
      <c r="E1067" s="75"/>
      <c r="F1067" s="75"/>
      <c r="G1067" s="75"/>
      <c r="H1067" s="75"/>
      <c r="I1067" s="1"/>
      <c r="J1067" s="1"/>
    </row>
    <row r="1068">
      <c r="A1068" s="1"/>
      <c r="B1068" s="1"/>
      <c r="C1068" s="75"/>
      <c r="D1068" s="75"/>
      <c r="E1068" s="75"/>
      <c r="F1068" s="75"/>
      <c r="G1068" s="75"/>
      <c r="H1068" s="75"/>
      <c r="I1068" s="1"/>
      <c r="J1068" s="1"/>
    </row>
    <row r="1069">
      <c r="A1069" s="1"/>
      <c r="B1069" s="1"/>
      <c r="C1069" s="75"/>
      <c r="D1069" s="75"/>
      <c r="E1069" s="75"/>
      <c r="F1069" s="75"/>
      <c r="G1069" s="75"/>
      <c r="H1069" s="75"/>
      <c r="I1069" s="1"/>
      <c r="J1069" s="1"/>
    </row>
    <row r="1070">
      <c r="A1070" s="1"/>
      <c r="B1070" s="1"/>
      <c r="C1070" s="75"/>
      <c r="D1070" s="75"/>
      <c r="E1070" s="75"/>
      <c r="F1070" s="75"/>
      <c r="G1070" s="75"/>
      <c r="H1070" s="75"/>
      <c r="I1070" s="1"/>
      <c r="J1070" s="1"/>
    </row>
    <row r="1071">
      <c r="A1071" s="1"/>
      <c r="B1071" s="1"/>
      <c r="C1071" s="75"/>
      <c r="D1071" s="75"/>
      <c r="E1071" s="75"/>
      <c r="F1071" s="75"/>
      <c r="G1071" s="75"/>
      <c r="H1071" s="75"/>
      <c r="I1071" s="1"/>
      <c r="J1071" s="1"/>
    </row>
    <row r="1072">
      <c r="A1072" s="1"/>
      <c r="B1072" s="1"/>
      <c r="C1072" s="75"/>
      <c r="D1072" s="75"/>
      <c r="E1072" s="75"/>
      <c r="F1072" s="75"/>
      <c r="G1072" s="75"/>
      <c r="H1072" s="75"/>
      <c r="I1072" s="1"/>
      <c r="J1072" s="1"/>
    </row>
    <row r="1073">
      <c r="A1073" s="1"/>
      <c r="B1073" s="1"/>
      <c r="C1073" s="75"/>
      <c r="D1073" s="75"/>
      <c r="E1073" s="75"/>
      <c r="F1073" s="75"/>
      <c r="G1073" s="75"/>
      <c r="H1073" s="75"/>
      <c r="I1073" s="1"/>
      <c r="J1073" s="1"/>
    </row>
    <row r="1074">
      <c r="A1074" s="1"/>
      <c r="B1074" s="1"/>
      <c r="C1074" s="75"/>
      <c r="D1074" s="75"/>
      <c r="E1074" s="75"/>
      <c r="F1074" s="75"/>
      <c r="G1074" s="75"/>
      <c r="H1074" s="75"/>
      <c r="I1074" s="1"/>
      <c r="J1074" s="1"/>
    </row>
    <row r="1075">
      <c r="A1075" s="1"/>
      <c r="B1075" s="1"/>
      <c r="C1075" s="75"/>
      <c r="D1075" s="75"/>
      <c r="E1075" s="75"/>
      <c r="F1075" s="75"/>
      <c r="G1075" s="75"/>
      <c r="H1075" s="75"/>
      <c r="I1075" s="1"/>
      <c r="J1075" s="1"/>
    </row>
    <row r="1076">
      <c r="A1076" s="1"/>
      <c r="B1076" s="1"/>
      <c r="C1076" s="75"/>
      <c r="D1076" s="75"/>
      <c r="E1076" s="75"/>
      <c r="F1076" s="75"/>
      <c r="G1076" s="75"/>
      <c r="H1076" s="75"/>
      <c r="I1076" s="1"/>
      <c r="J1076" s="1"/>
    </row>
    <row r="1077">
      <c r="A1077" s="1"/>
      <c r="B1077" s="1"/>
      <c r="C1077" s="75"/>
      <c r="D1077" s="75"/>
      <c r="E1077" s="75"/>
      <c r="F1077" s="75"/>
      <c r="G1077" s="75"/>
      <c r="H1077" s="75"/>
      <c r="I1077" s="1"/>
      <c r="J1077" s="1"/>
    </row>
    <row r="1078">
      <c r="A1078" s="1"/>
      <c r="B1078" s="1"/>
      <c r="C1078" s="75"/>
      <c r="D1078" s="75"/>
      <c r="E1078" s="75"/>
      <c r="F1078" s="75"/>
      <c r="G1078" s="75"/>
      <c r="H1078" s="75"/>
      <c r="I1078" s="1"/>
      <c r="J1078" s="1"/>
    </row>
    <row r="1079">
      <c r="A1079" s="1"/>
      <c r="B1079" s="1"/>
      <c r="C1079" s="75"/>
      <c r="D1079" s="75"/>
      <c r="E1079" s="75"/>
      <c r="F1079" s="75"/>
      <c r="G1079" s="75"/>
      <c r="H1079" s="75"/>
      <c r="I1079" s="1"/>
      <c r="J1079" s="1"/>
    </row>
    <row r="1080">
      <c r="A1080" s="1"/>
      <c r="B1080" s="1"/>
      <c r="C1080" s="75"/>
      <c r="D1080" s="75"/>
      <c r="E1080" s="75"/>
      <c r="F1080" s="75"/>
      <c r="G1080" s="75"/>
      <c r="H1080" s="75"/>
      <c r="I1080" s="1"/>
      <c r="J1080" s="1"/>
    </row>
    <row r="1081">
      <c r="A1081" s="1"/>
      <c r="B1081" s="1"/>
      <c r="C1081" s="75"/>
      <c r="D1081" s="75"/>
      <c r="E1081" s="75"/>
      <c r="F1081" s="75"/>
      <c r="G1081" s="75"/>
      <c r="H1081" s="75"/>
      <c r="I1081" s="1"/>
      <c r="J1081" s="1"/>
    </row>
    <row r="1082">
      <c r="A1082" s="1"/>
      <c r="B1082" s="1"/>
      <c r="C1082" s="75"/>
      <c r="D1082" s="75"/>
      <c r="E1082" s="75"/>
      <c r="F1082" s="75"/>
      <c r="G1082" s="75"/>
      <c r="H1082" s="75"/>
      <c r="I1082" s="1"/>
      <c r="J1082" s="1"/>
    </row>
    <row r="1083">
      <c r="A1083" s="1"/>
      <c r="B1083" s="1"/>
      <c r="C1083" s="75"/>
      <c r="D1083" s="75"/>
      <c r="E1083" s="75"/>
      <c r="F1083" s="75"/>
      <c r="G1083" s="75"/>
      <c r="H1083" s="75"/>
      <c r="I1083" s="1"/>
      <c r="J1083" s="1"/>
    </row>
    <row r="1084">
      <c r="A1084" s="1"/>
      <c r="B1084" s="1"/>
      <c r="C1084" s="75"/>
      <c r="D1084" s="75"/>
      <c r="E1084" s="75"/>
      <c r="F1084" s="75"/>
      <c r="G1084" s="75"/>
      <c r="H1084" s="75"/>
      <c r="I1084" s="1"/>
      <c r="J1084" s="1"/>
    </row>
    <row r="1085">
      <c r="A1085" s="1"/>
      <c r="B1085" s="1"/>
      <c r="C1085" s="75"/>
      <c r="D1085" s="75"/>
      <c r="E1085" s="75"/>
      <c r="F1085" s="75"/>
      <c r="G1085" s="75"/>
      <c r="H1085" s="75"/>
      <c r="I1085" s="1"/>
      <c r="J1085" s="1"/>
    </row>
    <row r="1086">
      <c r="A1086" s="1"/>
      <c r="B1086" s="1"/>
      <c r="C1086" s="75"/>
      <c r="D1086" s="75"/>
      <c r="E1086" s="75"/>
      <c r="F1086" s="75"/>
      <c r="G1086" s="75"/>
      <c r="H1086" s="75"/>
      <c r="I1086" s="1"/>
      <c r="J1086" s="1"/>
    </row>
    <row r="1087">
      <c r="A1087" s="1"/>
      <c r="B1087" s="1"/>
      <c r="C1087" s="75"/>
      <c r="D1087" s="75"/>
      <c r="E1087" s="75"/>
      <c r="F1087" s="75"/>
      <c r="G1087" s="75"/>
      <c r="H1087" s="75"/>
      <c r="I1087" s="1"/>
      <c r="J1087" s="1"/>
    </row>
    <row r="1088">
      <c r="A1088" s="1"/>
      <c r="B1088" s="1"/>
      <c r="C1088" s="75"/>
      <c r="D1088" s="75"/>
      <c r="E1088" s="75"/>
      <c r="F1088" s="75"/>
      <c r="G1088" s="75"/>
      <c r="H1088" s="75"/>
      <c r="I1088" s="1"/>
      <c r="J1088" s="1"/>
    </row>
    <row r="1089">
      <c r="A1089" s="1"/>
      <c r="B1089" s="1"/>
      <c r="C1089" s="75"/>
      <c r="D1089" s="75"/>
      <c r="E1089" s="75"/>
      <c r="F1089" s="75"/>
      <c r="G1089" s="75"/>
      <c r="H1089" s="75"/>
      <c r="I1089" s="1"/>
      <c r="J1089" s="1"/>
    </row>
    <row r="1090">
      <c r="A1090" s="1"/>
      <c r="B1090" s="1"/>
      <c r="C1090" s="75"/>
      <c r="D1090" s="75"/>
      <c r="E1090" s="75"/>
      <c r="F1090" s="75"/>
      <c r="G1090" s="75"/>
      <c r="H1090" s="75"/>
      <c r="I1090" s="1"/>
      <c r="J1090" s="1"/>
    </row>
    <row r="1091">
      <c r="A1091" s="1"/>
      <c r="B1091" s="1"/>
      <c r="C1091" s="75"/>
      <c r="D1091" s="75"/>
      <c r="E1091" s="75"/>
      <c r="F1091" s="75"/>
      <c r="G1091" s="75"/>
      <c r="H1091" s="75"/>
      <c r="I1091" s="1"/>
      <c r="J1091" s="1"/>
    </row>
    <row r="1092">
      <c r="A1092" s="1"/>
      <c r="B1092" s="1"/>
      <c r="C1092" s="75"/>
      <c r="D1092" s="75"/>
      <c r="E1092" s="75"/>
      <c r="F1092" s="75"/>
      <c r="G1092" s="75"/>
      <c r="H1092" s="75"/>
      <c r="I1092" s="1"/>
      <c r="J1092" s="1"/>
    </row>
    <row r="1093">
      <c r="A1093" s="1"/>
      <c r="B1093" s="1"/>
      <c r="C1093" s="75"/>
      <c r="D1093" s="75"/>
      <c r="E1093" s="75"/>
      <c r="F1093" s="75"/>
      <c r="G1093" s="75"/>
      <c r="H1093" s="75"/>
      <c r="I1093" s="1"/>
      <c r="J1093" s="1"/>
    </row>
    <row r="1094">
      <c r="A1094" s="1"/>
      <c r="B1094" s="1"/>
      <c r="C1094" s="75"/>
      <c r="D1094" s="75"/>
      <c r="E1094" s="75"/>
      <c r="F1094" s="75"/>
      <c r="G1094" s="75"/>
      <c r="H1094" s="75"/>
      <c r="I1094" s="1"/>
      <c r="J1094" s="1"/>
    </row>
    <row r="1095">
      <c r="A1095" s="1"/>
      <c r="B1095" s="1"/>
      <c r="C1095" s="75"/>
      <c r="D1095" s="75"/>
      <c r="E1095" s="75"/>
      <c r="F1095" s="75"/>
      <c r="G1095" s="75"/>
      <c r="H1095" s="75"/>
      <c r="I1095" s="1"/>
      <c r="J1095" s="1"/>
    </row>
    <row r="1096">
      <c r="A1096" s="1"/>
      <c r="B1096" s="1"/>
      <c r="C1096" s="75"/>
      <c r="D1096" s="75"/>
      <c r="E1096" s="75"/>
      <c r="F1096" s="75"/>
      <c r="G1096" s="75"/>
      <c r="H1096" s="75"/>
      <c r="I1096" s="1"/>
      <c r="J1096" s="1"/>
    </row>
    <row r="1097">
      <c r="A1097" s="1"/>
      <c r="B1097" s="1"/>
      <c r="C1097" s="75"/>
      <c r="D1097" s="75"/>
      <c r="E1097" s="75"/>
      <c r="F1097" s="75"/>
      <c r="G1097" s="75"/>
      <c r="H1097" s="75"/>
      <c r="I1097" s="1"/>
      <c r="J1097" s="1"/>
    </row>
    <row r="1098">
      <c r="A1098" s="1"/>
      <c r="B1098" s="1"/>
      <c r="C1098" s="75"/>
      <c r="D1098" s="75"/>
      <c r="E1098" s="75"/>
      <c r="F1098" s="75"/>
      <c r="G1098" s="75"/>
      <c r="H1098" s="75"/>
      <c r="I1098" s="1"/>
      <c r="J1098" s="1"/>
    </row>
    <row r="1099">
      <c r="A1099" s="1"/>
      <c r="B1099" s="1"/>
      <c r="C1099" s="75"/>
      <c r="D1099" s="75"/>
      <c r="E1099" s="75"/>
      <c r="F1099" s="75"/>
      <c r="G1099" s="75"/>
      <c r="H1099" s="75"/>
      <c r="I1099" s="1"/>
      <c r="J1099" s="1"/>
    </row>
    <row r="1100">
      <c r="A1100" s="1"/>
      <c r="B1100" s="1"/>
      <c r="C1100" s="75"/>
      <c r="D1100" s="75"/>
      <c r="E1100" s="75"/>
      <c r="F1100" s="75"/>
      <c r="G1100" s="75"/>
      <c r="H1100" s="75"/>
      <c r="I1100" s="1"/>
      <c r="J1100" s="1"/>
    </row>
    <row r="1101">
      <c r="A1101" s="1"/>
      <c r="B1101" s="1"/>
      <c r="C1101" s="75"/>
      <c r="D1101" s="75"/>
      <c r="E1101" s="75"/>
      <c r="F1101" s="75"/>
      <c r="G1101" s="75"/>
      <c r="H1101" s="75"/>
      <c r="I1101" s="1"/>
      <c r="J1101" s="1"/>
    </row>
    <row r="1102">
      <c r="A1102" s="1"/>
      <c r="B1102" s="1"/>
      <c r="C1102" s="75"/>
      <c r="D1102" s="75"/>
      <c r="E1102" s="75"/>
      <c r="F1102" s="75"/>
      <c r="G1102" s="75"/>
      <c r="H1102" s="75"/>
      <c r="I1102" s="1"/>
      <c r="J1102" s="1"/>
    </row>
    <row r="1103">
      <c r="A1103" s="1"/>
      <c r="B1103" s="1"/>
      <c r="C1103" s="75"/>
      <c r="D1103" s="75"/>
      <c r="E1103" s="75"/>
      <c r="F1103" s="75"/>
      <c r="G1103" s="75"/>
      <c r="H1103" s="75"/>
      <c r="I1103" s="1"/>
      <c r="J1103" s="1"/>
    </row>
    <row r="1104">
      <c r="A1104" s="1"/>
      <c r="B1104" s="1"/>
      <c r="C1104" s="75"/>
      <c r="D1104" s="75"/>
      <c r="E1104" s="75"/>
      <c r="F1104" s="75"/>
      <c r="G1104" s="75"/>
      <c r="H1104" s="75"/>
      <c r="I1104" s="1"/>
      <c r="J1104" s="1"/>
    </row>
    <row r="1105">
      <c r="A1105" s="1"/>
      <c r="B1105" s="1"/>
      <c r="C1105" s="75"/>
      <c r="D1105" s="75"/>
      <c r="E1105" s="75"/>
      <c r="F1105" s="75"/>
      <c r="G1105" s="75"/>
      <c r="H1105" s="75"/>
      <c r="I1105" s="1"/>
      <c r="J1105" s="1"/>
    </row>
    <row r="1106">
      <c r="A1106" s="1"/>
      <c r="B1106" s="1"/>
      <c r="C1106" s="75"/>
      <c r="D1106" s="75"/>
      <c r="E1106" s="75"/>
      <c r="F1106" s="75"/>
      <c r="G1106" s="75"/>
      <c r="H1106" s="75"/>
      <c r="I1106" s="1"/>
      <c r="J1106" s="1"/>
    </row>
    <row r="1107">
      <c r="A1107" s="1"/>
      <c r="B1107" s="1"/>
      <c r="C1107" s="75"/>
      <c r="D1107" s="75"/>
      <c r="E1107" s="75"/>
      <c r="F1107" s="75"/>
      <c r="G1107" s="75"/>
      <c r="H1107" s="75"/>
      <c r="I1107" s="1"/>
      <c r="J1107" s="1"/>
    </row>
    <row r="1108">
      <c r="A1108" s="1"/>
      <c r="B1108" s="1"/>
      <c r="C1108" s="75"/>
      <c r="D1108" s="75"/>
      <c r="E1108" s="75"/>
      <c r="F1108" s="75"/>
      <c r="G1108" s="75"/>
      <c r="H1108" s="75"/>
      <c r="I1108" s="1"/>
      <c r="J1108" s="1"/>
    </row>
    <row r="1109">
      <c r="A1109" s="1"/>
      <c r="B1109" s="1"/>
      <c r="C1109" s="75"/>
      <c r="D1109" s="75"/>
      <c r="E1109" s="75"/>
      <c r="F1109" s="75"/>
      <c r="G1109" s="75"/>
      <c r="H1109" s="75"/>
      <c r="I1109" s="1"/>
      <c r="J1109" s="1"/>
    </row>
    <row r="1110">
      <c r="A1110" s="1"/>
      <c r="B1110" s="1"/>
      <c r="C1110" s="75"/>
      <c r="D1110" s="75"/>
      <c r="E1110" s="75"/>
      <c r="F1110" s="75"/>
      <c r="G1110" s="75"/>
      <c r="H1110" s="75"/>
      <c r="I1110" s="1"/>
      <c r="J1110" s="1"/>
    </row>
    <row r="1111">
      <c r="A1111" s="1"/>
      <c r="B1111" s="1"/>
      <c r="C1111" s="75"/>
      <c r="D1111" s="75"/>
      <c r="E1111" s="75"/>
      <c r="F1111" s="75"/>
      <c r="G1111" s="75"/>
      <c r="H1111" s="75"/>
      <c r="I1111" s="1"/>
      <c r="J1111" s="1"/>
    </row>
    <row r="1112">
      <c r="A1112" s="1"/>
      <c r="B1112" s="1"/>
      <c r="C1112" s="75"/>
      <c r="D1112" s="75"/>
      <c r="E1112" s="75"/>
      <c r="F1112" s="75"/>
      <c r="G1112" s="75"/>
      <c r="H1112" s="75"/>
      <c r="I1112" s="1"/>
      <c r="J1112" s="1"/>
    </row>
    <row r="1113">
      <c r="A1113" s="1"/>
      <c r="B1113" s="1"/>
      <c r="C1113" s="75"/>
      <c r="D1113" s="75"/>
      <c r="E1113" s="75"/>
      <c r="F1113" s="75"/>
      <c r="G1113" s="75"/>
      <c r="H1113" s="75"/>
      <c r="I1113" s="1"/>
      <c r="J1113" s="1"/>
    </row>
    <row r="1114">
      <c r="A1114" s="1"/>
      <c r="B1114" s="1"/>
      <c r="C1114" s="75"/>
      <c r="D1114" s="75"/>
      <c r="E1114" s="75"/>
      <c r="F1114" s="75"/>
      <c r="G1114" s="75"/>
      <c r="H1114" s="75"/>
      <c r="I1114" s="1"/>
      <c r="J1114" s="1"/>
    </row>
    <row r="1115">
      <c r="A1115" s="1"/>
      <c r="B1115" s="1"/>
      <c r="C1115" s="75"/>
      <c r="D1115" s="75"/>
      <c r="E1115" s="75"/>
      <c r="F1115" s="75"/>
      <c r="G1115" s="75"/>
      <c r="H1115" s="75"/>
      <c r="I1115" s="1"/>
      <c r="J1115" s="1"/>
    </row>
    <row r="1116">
      <c r="A1116" s="1"/>
      <c r="B1116" s="1"/>
      <c r="C1116" s="75"/>
      <c r="D1116" s="75"/>
      <c r="E1116" s="75"/>
      <c r="F1116" s="75"/>
      <c r="G1116" s="75"/>
      <c r="H1116" s="75"/>
      <c r="I1116" s="1"/>
      <c r="J1116" s="1"/>
    </row>
    <row r="1117">
      <c r="A1117" s="1"/>
      <c r="B1117" s="1"/>
      <c r="C1117" s="75"/>
      <c r="D1117" s="75"/>
      <c r="E1117" s="75"/>
      <c r="F1117" s="75"/>
      <c r="G1117" s="75"/>
      <c r="H1117" s="75"/>
      <c r="I1117" s="1"/>
      <c r="J1117" s="1"/>
    </row>
    <row r="1118">
      <c r="A1118" s="1"/>
      <c r="B1118" s="1"/>
      <c r="C1118" s="75"/>
      <c r="D1118" s="75"/>
      <c r="E1118" s="75"/>
      <c r="F1118" s="75"/>
      <c r="G1118" s="75"/>
      <c r="H1118" s="75"/>
      <c r="I1118" s="1"/>
      <c r="J1118" s="1"/>
    </row>
    <row r="1119">
      <c r="A1119" s="1"/>
      <c r="B1119" s="1"/>
      <c r="C1119" s="75"/>
      <c r="D1119" s="75"/>
      <c r="E1119" s="75"/>
      <c r="F1119" s="75"/>
      <c r="G1119" s="75"/>
      <c r="H1119" s="75"/>
      <c r="I1119" s="1"/>
      <c r="J1119" s="1"/>
    </row>
    <row r="1120">
      <c r="A1120" s="1"/>
      <c r="B1120" s="1"/>
      <c r="C1120" s="75"/>
      <c r="D1120" s="75"/>
      <c r="E1120" s="75"/>
      <c r="F1120" s="75"/>
      <c r="G1120" s="75"/>
      <c r="H1120" s="75"/>
      <c r="I1120" s="1"/>
      <c r="J1120" s="1"/>
    </row>
    <row r="1121">
      <c r="A1121" s="1"/>
      <c r="B1121" s="1"/>
      <c r="C1121" s="75"/>
      <c r="D1121" s="75"/>
      <c r="E1121" s="75"/>
      <c r="F1121" s="75"/>
      <c r="G1121" s="75"/>
      <c r="H1121" s="75"/>
      <c r="I1121" s="1"/>
      <c r="J1121" s="1"/>
    </row>
    <row r="1122">
      <c r="A1122" s="1"/>
      <c r="B1122" s="1"/>
      <c r="C1122" s="75"/>
      <c r="D1122" s="75"/>
      <c r="E1122" s="75"/>
      <c r="F1122" s="75"/>
      <c r="G1122" s="75"/>
      <c r="H1122" s="75"/>
      <c r="I1122" s="1"/>
      <c r="J1122" s="1"/>
    </row>
    <row r="1123">
      <c r="A1123" s="1"/>
      <c r="B1123" s="1"/>
      <c r="C1123" s="75"/>
      <c r="D1123" s="75"/>
      <c r="E1123" s="75"/>
      <c r="F1123" s="75"/>
      <c r="G1123" s="75"/>
      <c r="H1123" s="75"/>
      <c r="I1123" s="1"/>
      <c r="J1123" s="1"/>
    </row>
    <row r="1124">
      <c r="A1124" s="1"/>
      <c r="B1124" s="1"/>
      <c r="C1124" s="75"/>
      <c r="D1124" s="75"/>
      <c r="E1124" s="75"/>
      <c r="F1124" s="75"/>
      <c r="G1124" s="75"/>
      <c r="H1124" s="75"/>
      <c r="I1124" s="1"/>
      <c r="J1124" s="1"/>
    </row>
    <row r="1125">
      <c r="A1125" s="1"/>
      <c r="B1125" s="1"/>
      <c r="C1125" s="75"/>
      <c r="D1125" s="75"/>
      <c r="E1125" s="75"/>
      <c r="F1125" s="75"/>
      <c r="G1125" s="75"/>
      <c r="H1125" s="75"/>
      <c r="I1125" s="1"/>
      <c r="J1125" s="1"/>
    </row>
    <row r="1126">
      <c r="A1126" s="1"/>
      <c r="B1126" s="1"/>
      <c r="C1126" s="75"/>
      <c r="D1126" s="75"/>
      <c r="E1126" s="75"/>
      <c r="F1126" s="75"/>
      <c r="G1126" s="75"/>
      <c r="H1126" s="75"/>
      <c r="I1126" s="1"/>
      <c r="J1126" s="1"/>
    </row>
    <row r="1127">
      <c r="A1127" s="1"/>
      <c r="B1127" s="1"/>
      <c r="C1127" s="75"/>
      <c r="D1127" s="75"/>
      <c r="E1127" s="75"/>
      <c r="F1127" s="75"/>
      <c r="G1127" s="75"/>
      <c r="H1127" s="75"/>
      <c r="I1127" s="1"/>
      <c r="J1127" s="1"/>
    </row>
    <row r="1128">
      <c r="A1128" s="1"/>
      <c r="B1128" s="1"/>
      <c r="C1128" s="75"/>
      <c r="D1128" s="75"/>
      <c r="E1128" s="75"/>
      <c r="F1128" s="75"/>
      <c r="G1128" s="75"/>
      <c r="H1128" s="75"/>
      <c r="I1128" s="1"/>
      <c r="J1128" s="1"/>
    </row>
    <row r="1129">
      <c r="A1129" s="1"/>
      <c r="B1129" s="1"/>
      <c r="C1129" s="75"/>
      <c r="D1129" s="75"/>
      <c r="E1129" s="75"/>
      <c r="F1129" s="75"/>
      <c r="G1129" s="75"/>
      <c r="H1129" s="75"/>
      <c r="I1129" s="1"/>
      <c r="J1129" s="1"/>
    </row>
    <row r="1130">
      <c r="A1130" s="1"/>
      <c r="B1130" s="1"/>
      <c r="C1130" s="75"/>
      <c r="D1130" s="75"/>
      <c r="E1130" s="75"/>
      <c r="F1130" s="75"/>
      <c r="G1130" s="75"/>
      <c r="H1130" s="75"/>
      <c r="I1130" s="1"/>
      <c r="J1130" s="1"/>
    </row>
    <row r="1131">
      <c r="A1131" s="1"/>
      <c r="B1131" s="1"/>
      <c r="C1131" s="75"/>
      <c r="D1131" s="75"/>
      <c r="E1131" s="75"/>
      <c r="F1131" s="75"/>
      <c r="G1131" s="75"/>
      <c r="H1131" s="75"/>
      <c r="I1131" s="1"/>
      <c r="J1131" s="1"/>
    </row>
    <row r="1132">
      <c r="A1132" s="1"/>
      <c r="B1132" s="1"/>
      <c r="C1132" s="75"/>
      <c r="D1132" s="75"/>
      <c r="E1132" s="75"/>
      <c r="F1132" s="75"/>
      <c r="G1132" s="75"/>
      <c r="H1132" s="75"/>
      <c r="I1132" s="1"/>
      <c r="J1132" s="1"/>
    </row>
    <row r="1133">
      <c r="A1133" s="1"/>
      <c r="B1133" s="1"/>
      <c r="C1133" s="75"/>
      <c r="D1133" s="75"/>
      <c r="E1133" s="75"/>
      <c r="F1133" s="75"/>
      <c r="G1133" s="75"/>
      <c r="H1133" s="75"/>
      <c r="I1133" s="1"/>
      <c r="J1133" s="1"/>
    </row>
    <row r="1134">
      <c r="A1134" s="1"/>
      <c r="B1134" s="1"/>
      <c r="C1134" s="75"/>
      <c r="D1134" s="75"/>
      <c r="E1134" s="75"/>
      <c r="F1134" s="75"/>
      <c r="G1134" s="75"/>
      <c r="H1134" s="75"/>
      <c r="I1134" s="1"/>
      <c r="J1134" s="1"/>
    </row>
    <row r="1135">
      <c r="A1135" s="1"/>
      <c r="B1135" s="1"/>
      <c r="C1135" s="75"/>
      <c r="D1135" s="75"/>
      <c r="E1135" s="75"/>
      <c r="F1135" s="75"/>
      <c r="G1135" s="75"/>
      <c r="H1135" s="75"/>
      <c r="I1135" s="1"/>
      <c r="J1135" s="1"/>
    </row>
    <row r="1136">
      <c r="A1136" s="1"/>
      <c r="B1136" s="1"/>
      <c r="C1136" s="75"/>
      <c r="D1136" s="75"/>
      <c r="E1136" s="75"/>
      <c r="F1136" s="75"/>
      <c r="G1136" s="75"/>
      <c r="H1136" s="75"/>
      <c r="I1136" s="1"/>
      <c r="J1136" s="1"/>
    </row>
    <row r="1137">
      <c r="A1137" s="1"/>
      <c r="B1137" s="1"/>
      <c r="C1137" s="1"/>
      <c r="D1137" s="75"/>
      <c r="E1137" s="75"/>
      <c r="F1137" s="75"/>
      <c r="G1137" s="75"/>
      <c r="H1137" s="75"/>
      <c r="I1137" s="1"/>
      <c r="J1137" s="1"/>
    </row>
    <row r="1138">
      <c r="A1138" s="1"/>
      <c r="B1138" s="1"/>
      <c r="C1138" s="1"/>
      <c r="D1138" s="75"/>
      <c r="E1138" s="75"/>
      <c r="F1138" s="75"/>
      <c r="G1138" s="75"/>
      <c r="H1138" s="75"/>
      <c r="I1138" s="1"/>
      <c r="J1138" s="1"/>
    </row>
    <row r="1139">
      <c r="A1139" s="1"/>
      <c r="B1139" s="1"/>
      <c r="C1139" s="1"/>
      <c r="D1139" s="75"/>
      <c r="E1139" s="75"/>
      <c r="F1139" s="75"/>
      <c r="G1139" s="75"/>
      <c r="H1139" s="75"/>
      <c r="I1139" s="1"/>
      <c r="J1139" s="1"/>
    </row>
    <row r="1140">
      <c r="A1140" s="1"/>
      <c r="B1140" s="1"/>
      <c r="C1140" s="1"/>
      <c r="D1140" s="75"/>
      <c r="E1140" s="75"/>
      <c r="F1140" s="75"/>
      <c r="G1140" s="75"/>
      <c r="H1140" s="75"/>
      <c r="I1140" s="1"/>
      <c r="J1140" s="1"/>
    </row>
    <row r="1141">
      <c r="A1141" s="1"/>
      <c r="B1141" s="1"/>
      <c r="C1141" s="1"/>
      <c r="D1141" s="75"/>
      <c r="E1141" s="75"/>
      <c r="F1141" s="75"/>
      <c r="G1141" s="75"/>
      <c r="H1141" s="75"/>
      <c r="I1141" s="1"/>
      <c r="J1141" s="1"/>
    </row>
    <row r="1142">
      <c r="A1142" s="1"/>
      <c r="B1142" s="1"/>
      <c r="C1142" s="1"/>
      <c r="D1142" s="75"/>
      <c r="E1142" s="75"/>
      <c r="F1142" s="75"/>
      <c r="G1142" s="75"/>
      <c r="H1142" s="75"/>
      <c r="I1142" s="1"/>
      <c r="J1142" s="1"/>
    </row>
    <row r="1143">
      <c r="A1143" s="1"/>
      <c r="B1143" s="1"/>
      <c r="C1143" s="1"/>
      <c r="D1143" s="75"/>
      <c r="E1143" s="75"/>
      <c r="F1143" s="75"/>
      <c r="G1143" s="75"/>
      <c r="H1143" s="75"/>
      <c r="I1143" s="1"/>
      <c r="J1143" s="1"/>
    </row>
    <row r="1144">
      <c r="A1144" s="1"/>
      <c r="B1144" s="1"/>
      <c r="C1144" s="1"/>
      <c r="D1144" s="75"/>
      <c r="E1144" s="75"/>
      <c r="F1144" s="75"/>
      <c r="G1144" s="75"/>
      <c r="H1144" s="75"/>
      <c r="I1144" s="1"/>
      <c r="J1144" s="1"/>
    </row>
    <row r="1145">
      <c r="A1145" s="1"/>
      <c r="B1145" s="1"/>
      <c r="C1145" s="1"/>
      <c r="D1145" s="75"/>
      <c r="E1145" s="75"/>
      <c r="F1145" s="75"/>
      <c r="G1145" s="75"/>
      <c r="H1145" s="75"/>
      <c r="I1145" s="1"/>
      <c r="J1145" s="1"/>
    </row>
    <row r="1146">
      <c r="A1146" s="1"/>
      <c r="B1146" s="1"/>
      <c r="C1146" s="1"/>
      <c r="D1146" s="75"/>
      <c r="E1146" s="75"/>
      <c r="F1146" s="75"/>
      <c r="G1146" s="75"/>
      <c r="H1146" s="75"/>
      <c r="I1146" s="1"/>
      <c r="J1146" s="1"/>
    </row>
    <row r="1147">
      <c r="A1147" s="1"/>
      <c r="B1147" s="1"/>
      <c r="C1147" s="1"/>
      <c r="D1147" s="75"/>
      <c r="E1147" s="75"/>
      <c r="F1147" s="75"/>
      <c r="G1147" s="75"/>
      <c r="H1147" s="75"/>
      <c r="I1147" s="1"/>
      <c r="J1147" s="1"/>
    </row>
    <row r="1148">
      <c r="A1148" s="1"/>
      <c r="B1148" s="1"/>
      <c r="C1148" s="1"/>
      <c r="D1148" s="75"/>
      <c r="E1148" s="75"/>
      <c r="F1148" s="75"/>
      <c r="G1148" s="75"/>
      <c r="H1148" s="75"/>
      <c r="I1148" s="1"/>
      <c r="J1148" s="1"/>
    </row>
    <row r="1149">
      <c r="A1149" s="1"/>
      <c r="B1149" s="1"/>
      <c r="C1149" s="1"/>
      <c r="D1149" s="75"/>
      <c r="E1149" s="75"/>
      <c r="F1149" s="75"/>
      <c r="G1149" s="75"/>
      <c r="H1149" s="75"/>
      <c r="I1149" s="1"/>
      <c r="J1149" s="1"/>
    </row>
    <row r="1150">
      <c r="A1150" s="1"/>
      <c r="B1150" s="1"/>
      <c r="C1150" s="1"/>
      <c r="D1150" s="75"/>
      <c r="E1150" s="75"/>
      <c r="F1150" s="75"/>
      <c r="G1150" s="75"/>
      <c r="H1150" s="75"/>
      <c r="I1150" s="1"/>
      <c r="J1150" s="1"/>
    </row>
    <row r="1151">
      <c r="A1151" s="1"/>
      <c r="B1151" s="1"/>
      <c r="C1151" s="1"/>
      <c r="D1151" s="75"/>
      <c r="E1151" s="75"/>
      <c r="F1151" s="75"/>
      <c r="G1151" s="75"/>
      <c r="H1151" s="75"/>
      <c r="I1151" s="1"/>
      <c r="J1151" s="1"/>
    </row>
    <row r="1152">
      <c r="A1152" s="1"/>
      <c r="B1152" s="1"/>
      <c r="C1152" s="1"/>
      <c r="D1152" s="75"/>
      <c r="E1152" s="75"/>
      <c r="F1152" s="75"/>
      <c r="G1152" s="75"/>
      <c r="H1152" s="75"/>
      <c r="I1152" s="1"/>
      <c r="J1152" s="1"/>
    </row>
    <row r="1153">
      <c r="A1153" s="1"/>
      <c r="B1153" s="1"/>
      <c r="C1153" s="1"/>
      <c r="D1153" s="75"/>
      <c r="E1153" s="75"/>
      <c r="F1153" s="75"/>
      <c r="G1153" s="75"/>
      <c r="H1153" s="75"/>
      <c r="I1153" s="1"/>
      <c r="J1153" s="1"/>
    </row>
    <row r="1154">
      <c r="A1154" s="1"/>
      <c r="B1154" s="1"/>
      <c r="C1154" s="1"/>
      <c r="D1154" s="75"/>
      <c r="E1154" s="75"/>
      <c r="F1154" s="75"/>
      <c r="G1154" s="75"/>
      <c r="H1154" s="75"/>
      <c r="I1154" s="1"/>
      <c r="J1154" s="1"/>
    </row>
    <row r="1155">
      <c r="A1155" s="1"/>
      <c r="B1155" s="1"/>
      <c r="C1155" s="1"/>
      <c r="D1155" s="75"/>
      <c r="E1155" s="75"/>
      <c r="F1155" s="75"/>
      <c r="G1155" s="75"/>
      <c r="H1155" s="75"/>
      <c r="I1155" s="1"/>
      <c r="J1155" s="1"/>
    </row>
    <row r="1156">
      <c r="A1156" s="1"/>
      <c r="D1156" s="75"/>
      <c r="E1156" s="75"/>
      <c r="F1156" s="75"/>
      <c r="G1156" s="75"/>
      <c r="H1156" s="75"/>
      <c r="I1156" s="1"/>
      <c r="J1156" s="1"/>
    </row>
    <row r="1157">
      <c r="A1157" s="1"/>
      <c r="D1157" s="75"/>
      <c r="E1157" s="75"/>
      <c r="F1157" s="75"/>
      <c r="G1157" s="75"/>
      <c r="H1157" s="75"/>
      <c r="I1157" s="1"/>
      <c r="J1157" s="1"/>
    </row>
    <row r="1158">
      <c r="A1158" s="1"/>
      <c r="D1158" s="75"/>
      <c r="E1158" s="75"/>
      <c r="F1158" s="75"/>
      <c r="G1158" s="75"/>
      <c r="H1158" s="75"/>
      <c r="I1158" s="1"/>
      <c r="J1158" s="1"/>
    </row>
    <row r="1159">
      <c r="A1159" s="1"/>
      <c r="D1159" s="75"/>
      <c r="E1159" s="75"/>
      <c r="F1159" s="75"/>
      <c r="G1159" s="75"/>
      <c r="H1159" s="75"/>
      <c r="I1159" s="1"/>
      <c r="J1159" s="1"/>
    </row>
    <row r="1160">
      <c r="A1160" s="1"/>
      <c r="D1160" s="75"/>
      <c r="E1160" s="75"/>
      <c r="F1160" s="75"/>
      <c r="G1160" s="75"/>
      <c r="H1160" s="75"/>
      <c r="I1160" s="1"/>
      <c r="J1160" s="1"/>
    </row>
    <row r="1161">
      <c r="A1161" s="1"/>
      <c r="D1161" s="75"/>
      <c r="E1161" s="75"/>
      <c r="F1161" s="75"/>
      <c r="G1161" s="75"/>
      <c r="H1161" s="75"/>
      <c r="I1161" s="1"/>
      <c r="J1161" s="1"/>
    </row>
    <row r="1162">
      <c r="A1162" s="1"/>
      <c r="D1162" s="75"/>
      <c r="E1162" s="75"/>
      <c r="F1162" s="75"/>
      <c r="G1162" s="75"/>
      <c r="H1162" s="75"/>
      <c r="I1162" s="1"/>
      <c r="J1162" s="1"/>
    </row>
    <row r="1163">
      <c r="A1163" s="1"/>
      <c r="D1163" s="75"/>
      <c r="E1163" s="75"/>
      <c r="F1163" s="75"/>
      <c r="G1163" s="75"/>
      <c r="H1163" s="75"/>
      <c r="I1163" s="1"/>
      <c r="J1163" s="1"/>
    </row>
    <row r="1164">
      <c r="A1164" s="1"/>
      <c r="D1164" s="75"/>
      <c r="G1164" s="75"/>
      <c r="H1164" s="75"/>
      <c r="I1164" s="1"/>
      <c r="J1164" s="1"/>
    </row>
    <row r="1165">
      <c r="A1165" s="1"/>
      <c r="D1165" s="75"/>
      <c r="G1165" s="75"/>
      <c r="H1165" s="75"/>
      <c r="I1165" s="1"/>
      <c r="J1165" s="1"/>
    </row>
    <row r="1166">
      <c r="A1166" s="1"/>
      <c r="D1166" s="75"/>
      <c r="G1166" s="75"/>
      <c r="H1166" s="75"/>
      <c r="I1166" s="1"/>
      <c r="J1166" s="1"/>
    </row>
    <row r="1167">
      <c r="A1167" s="1"/>
      <c r="D1167" s="75"/>
      <c r="G1167" s="75"/>
      <c r="H1167" s="75"/>
      <c r="I1167" s="1"/>
      <c r="J1167" s="1"/>
    </row>
    <row r="1168">
      <c r="A1168" s="1"/>
      <c r="D1168" s="75"/>
      <c r="G1168" s="75"/>
      <c r="H1168" s="75"/>
      <c r="I1168" s="1"/>
      <c r="J1168" s="1"/>
    </row>
    <row r="1169">
      <c r="A1169" s="1"/>
      <c r="D1169" s="75"/>
      <c r="G1169" s="75"/>
      <c r="H1169" s="75"/>
      <c r="I1169" s="1"/>
      <c r="J1169" s="1"/>
    </row>
    <row r="1170">
      <c r="A1170" s="1"/>
      <c r="D1170" s="75"/>
      <c r="G1170" s="75"/>
      <c r="H1170" s="75"/>
      <c r="I1170" s="1"/>
      <c r="J1170" s="1"/>
    </row>
    <row r="1171">
      <c r="A1171" s="1"/>
      <c r="D1171" s="75"/>
      <c r="G1171" s="75"/>
      <c r="H1171" s="75"/>
      <c r="I1171" s="1"/>
      <c r="J1171" s="1"/>
    </row>
    <row r="1172">
      <c r="A1172" s="1"/>
      <c r="D1172" s="75"/>
      <c r="G1172" s="75"/>
      <c r="H1172" s="75"/>
      <c r="I1172" s="1"/>
      <c r="J1172" s="1"/>
    </row>
    <row r="1173">
      <c r="A1173" s="1"/>
      <c r="D1173" s="75"/>
      <c r="G1173" s="75"/>
      <c r="H1173" s="75"/>
      <c r="I1173" s="1"/>
      <c r="J1173" s="1"/>
    </row>
    <row r="1174">
      <c r="A1174" s="1"/>
      <c r="D1174" s="75"/>
      <c r="G1174" s="75"/>
      <c r="H1174" s="75"/>
      <c r="I1174" s="1"/>
      <c r="J1174" s="1"/>
    </row>
    <row r="1175">
      <c r="A1175" s="1"/>
      <c r="D1175" s="75"/>
      <c r="G1175" s="75"/>
      <c r="H1175" s="75"/>
      <c r="I1175" s="1"/>
      <c r="J1175" s="1"/>
    </row>
    <row r="1176">
      <c r="A1176" s="1"/>
      <c r="D1176" s="75"/>
      <c r="G1176" s="75"/>
      <c r="H1176" s="75"/>
      <c r="I1176" s="1"/>
      <c r="J1176" s="1"/>
    </row>
    <row r="1177">
      <c r="A1177" s="1"/>
      <c r="D1177" s="75"/>
      <c r="G1177" s="75"/>
      <c r="H1177" s="75"/>
      <c r="I1177" s="1"/>
      <c r="J1177" s="1"/>
    </row>
    <row r="1178">
      <c r="A1178" s="1"/>
      <c r="G1178" s="75"/>
      <c r="H1178" s="75"/>
      <c r="I1178" s="1"/>
      <c r="J1178" s="1"/>
    </row>
    <row r="1179">
      <c r="A1179" s="1"/>
      <c r="G1179" s="75"/>
      <c r="H1179" s="75"/>
      <c r="I1179" s="1"/>
      <c r="J1179" s="1"/>
    </row>
    <row r="1180">
      <c r="A1180" s="1"/>
      <c r="G1180" s="75"/>
      <c r="H1180" s="75"/>
      <c r="I1180" s="1"/>
      <c r="J1180" s="1"/>
    </row>
    <row r="1181">
      <c r="A1181" s="1"/>
      <c r="G1181" s="75"/>
      <c r="H1181" s="75"/>
      <c r="I1181" s="1"/>
      <c r="J1181" s="1"/>
    </row>
    <row r="1182">
      <c r="A1182" s="1"/>
      <c r="G1182" s="75"/>
      <c r="H1182" s="75"/>
      <c r="I1182" s="1"/>
      <c r="J1182" s="1"/>
    </row>
    <row r="1183">
      <c r="A1183" s="1"/>
      <c r="G1183" s="75"/>
      <c r="H1183" s="75"/>
      <c r="I1183" s="1"/>
      <c r="J1183" s="1"/>
    </row>
    <row r="1184">
      <c r="A1184" s="1"/>
      <c r="G1184" s="75"/>
      <c r="H1184" s="75"/>
      <c r="I1184" s="1"/>
      <c r="J1184" s="1"/>
    </row>
    <row r="1185">
      <c r="A1185" s="1"/>
      <c r="G1185" s="75"/>
      <c r="H1185" s="75"/>
      <c r="I1185" s="1"/>
      <c r="J1185" s="1"/>
    </row>
    <row r="1186">
      <c r="A1186" s="1"/>
      <c r="G1186" s="75"/>
      <c r="H1186" s="75"/>
      <c r="I1186" s="1"/>
      <c r="J1186" s="1"/>
    </row>
    <row r="1187">
      <c r="A1187" s="1"/>
      <c r="G1187" s="75"/>
      <c r="H1187" s="75"/>
      <c r="I1187" s="1"/>
      <c r="J1187" s="1"/>
    </row>
    <row r="1188">
      <c r="A1188" s="1"/>
      <c r="G1188" s="75"/>
      <c r="H1188" s="75"/>
      <c r="I1188" s="1"/>
      <c r="J1188" s="1"/>
    </row>
  </sheetData>
  <mergeCells count="19">
    <mergeCell ref="B2:C2"/>
    <mergeCell ref="B9:C9"/>
    <mergeCell ref="B11:C11"/>
    <mergeCell ref="B24:C24"/>
    <mergeCell ref="B27:C27"/>
    <mergeCell ref="E27:F27"/>
    <mergeCell ref="E28:F28"/>
    <mergeCell ref="B43:C43"/>
    <mergeCell ref="B48:C48"/>
    <mergeCell ref="B50:C50"/>
    <mergeCell ref="B53:C53"/>
    <mergeCell ref="B56:C56"/>
    <mergeCell ref="B28:C28"/>
    <mergeCell ref="B32:C32"/>
    <mergeCell ref="E32:F32"/>
    <mergeCell ref="B35:C35"/>
    <mergeCell ref="E35:F35"/>
    <mergeCell ref="B38:C38"/>
    <mergeCell ref="B39:C39"/>
  </mergeCells>
  <conditionalFormatting sqref="F29">
    <cfRule type="cellIs" dxfId="4" priority="1" operator="greaterThanOrEqual">
      <formula> $F29 &gt;= $C29</formula>
    </cfRule>
  </conditionalFormatting>
  <conditionalFormatting sqref="F29">
    <cfRule type="expression" dxfId="3" priority="2">
      <formula>$F29 &lt; $C29</formula>
    </cfRule>
  </conditionalFormatting>
  <conditionalFormatting sqref="F30">
    <cfRule type="expression" dxfId="4" priority="3">
      <formula>$F30 &gt;= $C30</formula>
    </cfRule>
  </conditionalFormatting>
  <conditionalFormatting sqref="F30">
    <cfRule type="expression" dxfId="3" priority="4">
      <formula> $F30 &lt; $C30</formula>
    </cfRule>
  </conditionalFormatting>
  <conditionalFormatting sqref="B4:C4">
    <cfRule type="expression" dxfId="0" priority="5">
      <formula> Eq($C$3, "Node")</formula>
    </cfRule>
  </conditionalFormatting>
  <conditionalFormatting sqref="B4:C4">
    <cfRule type="expression" dxfId="1" priority="6">
      <formula> Not(Eq($C$3, "Node"))</formula>
    </cfRule>
  </conditionalFormatting>
  <conditionalFormatting sqref="B6:C6">
    <cfRule type="expression" dxfId="0" priority="7">
      <formula> Eq($C$3, "Rack/AZ")</formula>
    </cfRule>
  </conditionalFormatting>
  <conditionalFormatting sqref="B6:C6">
    <cfRule type="expression" dxfId="1" priority="8">
      <formula> Not(Eq($C$3, "Rack/AZ"))</formula>
    </cfRule>
  </conditionalFormatting>
  <dataValidations>
    <dataValidation type="list" allowBlank="1" showErrorMessage="1" sqref="C3">
      <formula1>"None,Rack/AZ,Node"</formula1>
    </dataValidation>
    <dataValidation type="list" allowBlank="1" showErrorMessage="1" sqref="C6">
      <formula1>$J:$J</formula1>
    </dataValidation>
    <dataValidation type="list" allowBlank="1" showErrorMessage="1" sqref="C5">
      <formula1>Miscellaneous!$E$3:$E$11</formula1>
    </dataValidation>
    <dataValidation type="list" allowBlank="1" showErrorMessage="1" sqref="C10">
      <formula1>Custom!$H$2:$H$257</formula1>
    </dataValidation>
    <dataValidation type="list" allowBlank="1" showErrorMessage="1" sqref="C4">
      <formula1>$I:$I</formula1>
    </dataValidation>
    <dataValidation type="list" allowBlank="1" showErrorMessage="1" sqref="C7">
      <formula1>"True,False"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52.63"/>
    <col customWidth="1" min="3" max="3" width="12.88"/>
    <col customWidth="1" min="4" max="4" width="4.5"/>
    <col customWidth="1" min="5" max="5" width="3.75"/>
  </cols>
  <sheetData>
    <row r="2">
      <c r="B2" s="10" t="s">
        <v>1326</v>
      </c>
      <c r="C2" s="55"/>
      <c r="E2" s="154">
        <v>0.0</v>
      </c>
    </row>
    <row r="3">
      <c r="B3" s="15" t="s">
        <v>1327</v>
      </c>
      <c r="C3" s="155">
        <v>64.0</v>
      </c>
      <c r="E3" s="154">
        <v>1.0</v>
      </c>
    </row>
    <row r="4">
      <c r="B4" s="15" t="s">
        <v>1328</v>
      </c>
      <c r="C4" s="156">
        <v>21.0</v>
      </c>
      <c r="E4" s="154">
        <v>2.0</v>
      </c>
    </row>
    <row r="5">
      <c r="B5" s="15" t="s">
        <v>1329</v>
      </c>
      <c r="C5" s="157">
        <f>16 * (1024)^2</f>
        <v>16777216</v>
      </c>
      <c r="E5" s="154">
        <v>3.0</v>
      </c>
    </row>
    <row r="6">
      <c r="B6" s="15" t="s">
        <v>1330</v>
      </c>
      <c r="C6" s="157">
        <f> 8 * MB</f>
        <v>8388608</v>
      </c>
      <c r="E6" s="154">
        <v>4.0</v>
      </c>
    </row>
    <row r="7">
      <c r="B7" s="15" t="s">
        <v>1331</v>
      </c>
      <c r="C7" s="157">
        <v>4096.0</v>
      </c>
      <c r="E7" s="154">
        <v>5.0</v>
      </c>
    </row>
    <row r="8">
      <c r="B8" s="33" t="s">
        <v>1332</v>
      </c>
      <c r="C8" s="158">
        <v>64.0</v>
      </c>
      <c r="E8" s="154">
        <v>6.0</v>
      </c>
    </row>
    <row r="9">
      <c r="B9" s="154"/>
      <c r="C9" s="154"/>
      <c r="E9" s="154">
        <v>7.0</v>
      </c>
    </row>
    <row r="10">
      <c r="B10" s="10" t="s">
        <v>1333</v>
      </c>
      <c r="C10" s="55"/>
      <c r="E10" s="154">
        <v>8.0</v>
      </c>
    </row>
    <row r="11">
      <c r="B11" s="15" t="s">
        <v>1334</v>
      </c>
      <c r="C11" s="157">
        <v>4096.0</v>
      </c>
      <c r="E11" s="154">
        <v>9.0</v>
      </c>
    </row>
    <row r="12">
      <c r="B12" s="15" t="s">
        <v>1335</v>
      </c>
      <c r="C12" s="157">
        <v>4096.0</v>
      </c>
      <c r="E12" s="154">
        <v>10.0</v>
      </c>
    </row>
    <row r="13">
      <c r="B13" s="15" t="s">
        <v>1336</v>
      </c>
      <c r="C13" s="157">
        <f>SprigSize/PIEntrySize</f>
        <v>64</v>
      </c>
      <c r="E13" s="154">
        <v>11.0</v>
      </c>
    </row>
    <row r="14">
      <c r="B14" s="15" t="s">
        <v>1337</v>
      </c>
      <c r="C14" s="159">
        <v>0.5</v>
      </c>
      <c r="E14" s="154">
        <v>12.0</v>
      </c>
    </row>
    <row r="15">
      <c r="B15" s="15" t="s">
        <v>1338</v>
      </c>
      <c r="C15" s="160">
        <v>227.0</v>
      </c>
      <c r="E15" s="154">
        <v>13.0</v>
      </c>
    </row>
    <row r="16">
      <c r="B16" s="33" t="s">
        <v>1339</v>
      </c>
      <c r="C16" s="161">
        <v>0.75</v>
      </c>
      <c r="E16" s="154">
        <v>14.0</v>
      </c>
    </row>
    <row r="17">
      <c r="E17" s="154">
        <v>15.0</v>
      </c>
    </row>
    <row r="18">
      <c r="B18" s="10" t="s">
        <v>1340</v>
      </c>
      <c r="C18" s="55"/>
      <c r="E18" s="154">
        <v>16.0</v>
      </c>
    </row>
    <row r="19">
      <c r="B19" s="162" t="s">
        <v>1341</v>
      </c>
      <c r="C19" s="163">
        <v>365.0</v>
      </c>
      <c r="E19" s="154">
        <v>17.0</v>
      </c>
    </row>
    <row r="20">
      <c r="B20" s="15" t="s">
        <v>1342</v>
      </c>
      <c r="C20" s="157">
        <v>24.0</v>
      </c>
      <c r="E20" s="154">
        <v>18.0</v>
      </c>
    </row>
    <row r="21">
      <c r="B21" s="15" t="s">
        <v>1343</v>
      </c>
      <c r="C21" s="157">
        <v>60.0</v>
      </c>
      <c r="E21" s="154">
        <v>19.0</v>
      </c>
    </row>
    <row r="22">
      <c r="B22" s="15" t="s">
        <v>1344</v>
      </c>
      <c r="C22" s="157">
        <v>60.0</v>
      </c>
      <c r="E22" s="154">
        <v>20.0</v>
      </c>
    </row>
    <row r="23">
      <c r="B23" s="15" t="s">
        <v>1345</v>
      </c>
      <c r="C23" s="160">
        <f>C19*C20</f>
        <v>8760</v>
      </c>
      <c r="E23" s="154">
        <v>21.0</v>
      </c>
    </row>
    <row r="24">
      <c r="B24" s="33" t="s">
        <v>1346</v>
      </c>
      <c r="C24" s="164">
        <f>C19*C20*C21*C22</f>
        <v>31536000</v>
      </c>
      <c r="E24" s="154">
        <v>22.0</v>
      </c>
    </row>
    <row r="25">
      <c r="E25" s="154">
        <v>23.0</v>
      </c>
    </row>
    <row r="26">
      <c r="B26" s="162" t="s">
        <v>1347</v>
      </c>
      <c r="C26" s="165">
        <f>Power(1024,1)</f>
        <v>1024</v>
      </c>
      <c r="E26" s="154">
        <v>25.0</v>
      </c>
    </row>
    <row r="27">
      <c r="B27" s="15" t="s">
        <v>1348</v>
      </c>
      <c r="C27" s="166">
        <f>Power(1024,2)</f>
        <v>1048576</v>
      </c>
      <c r="E27" s="154">
        <v>26.0</v>
      </c>
    </row>
    <row r="28">
      <c r="B28" s="15" t="s">
        <v>1349</v>
      </c>
      <c r="C28" s="166">
        <f>Power(1024,3)</f>
        <v>1073741824</v>
      </c>
      <c r="E28" s="154">
        <v>27.0</v>
      </c>
    </row>
    <row r="29">
      <c r="B29" s="33" t="s">
        <v>1350</v>
      </c>
      <c r="C29" s="167">
        <f>Power(1024,4)</f>
        <v>1099511627776</v>
      </c>
      <c r="E29" s="154">
        <v>28.0</v>
      </c>
    </row>
    <row r="30">
      <c r="E30" s="154">
        <v>29.0</v>
      </c>
    </row>
    <row r="31">
      <c r="E31" s="154">
        <v>30.0</v>
      </c>
    </row>
    <row r="32">
      <c r="E32" s="154">
        <v>31.0</v>
      </c>
    </row>
    <row r="33">
      <c r="E33" s="154">
        <v>32.0</v>
      </c>
    </row>
    <row r="34">
      <c r="E34" s="154">
        <v>33.0</v>
      </c>
    </row>
    <row r="35">
      <c r="E35" s="154">
        <v>34.0</v>
      </c>
    </row>
    <row r="36">
      <c r="E36" s="154">
        <v>35.0</v>
      </c>
    </row>
    <row r="37">
      <c r="E37" s="154">
        <v>36.0</v>
      </c>
    </row>
    <row r="38">
      <c r="E38" s="154">
        <v>37.0</v>
      </c>
    </row>
    <row r="39">
      <c r="E39" s="154">
        <v>38.0</v>
      </c>
    </row>
    <row r="40">
      <c r="E40" s="154">
        <v>39.0</v>
      </c>
    </row>
    <row r="41">
      <c r="E41" s="154">
        <v>40.0</v>
      </c>
    </row>
    <row r="42">
      <c r="E42" s="154">
        <v>41.0</v>
      </c>
    </row>
    <row r="43">
      <c r="E43" s="154">
        <v>42.0</v>
      </c>
    </row>
    <row r="44">
      <c r="E44" s="154">
        <v>43.0</v>
      </c>
    </row>
    <row r="45">
      <c r="E45" s="154">
        <v>44.0</v>
      </c>
    </row>
    <row r="46">
      <c r="E46" s="154">
        <v>45.0</v>
      </c>
    </row>
    <row r="47">
      <c r="E47" s="154">
        <v>46.0</v>
      </c>
    </row>
    <row r="48">
      <c r="E48" s="154">
        <v>47.0</v>
      </c>
    </row>
    <row r="49">
      <c r="E49" s="154">
        <v>48.0</v>
      </c>
    </row>
    <row r="50">
      <c r="E50" s="154">
        <v>49.0</v>
      </c>
    </row>
    <row r="51">
      <c r="E51" s="154">
        <v>50.0</v>
      </c>
    </row>
    <row r="52">
      <c r="E52" s="154">
        <v>51.0</v>
      </c>
    </row>
    <row r="53">
      <c r="E53" s="154">
        <v>52.0</v>
      </c>
    </row>
    <row r="54">
      <c r="E54" s="154">
        <v>53.0</v>
      </c>
    </row>
    <row r="55">
      <c r="E55" s="154">
        <v>54.0</v>
      </c>
    </row>
    <row r="56">
      <c r="E56" s="154">
        <v>55.0</v>
      </c>
    </row>
    <row r="57">
      <c r="E57" s="154">
        <v>56.0</v>
      </c>
    </row>
    <row r="58">
      <c r="E58" s="154">
        <v>57.0</v>
      </c>
    </row>
    <row r="59">
      <c r="E59" s="154">
        <v>58.0</v>
      </c>
    </row>
    <row r="60">
      <c r="E60" s="154">
        <v>59.0</v>
      </c>
    </row>
    <row r="61">
      <c r="E61" s="154">
        <v>60.0</v>
      </c>
    </row>
    <row r="62">
      <c r="E62" s="154">
        <v>61.0</v>
      </c>
    </row>
    <row r="63">
      <c r="E63" s="154">
        <v>62.0</v>
      </c>
    </row>
    <row r="64">
      <c r="E64" s="154">
        <v>63.0</v>
      </c>
    </row>
    <row r="65">
      <c r="E65" s="154">
        <v>64.0</v>
      </c>
    </row>
    <row r="66">
      <c r="E66" s="154">
        <v>65.0</v>
      </c>
    </row>
    <row r="67">
      <c r="E67" s="154">
        <v>66.0</v>
      </c>
    </row>
    <row r="68">
      <c r="E68" s="154">
        <v>67.0</v>
      </c>
    </row>
    <row r="69">
      <c r="E69" s="154">
        <v>68.0</v>
      </c>
    </row>
    <row r="70">
      <c r="E70" s="154">
        <v>69.0</v>
      </c>
    </row>
    <row r="71">
      <c r="E71" s="154">
        <v>70.0</v>
      </c>
    </row>
    <row r="72">
      <c r="E72" s="154">
        <v>71.0</v>
      </c>
    </row>
    <row r="73">
      <c r="E73" s="154">
        <v>72.0</v>
      </c>
    </row>
    <row r="74">
      <c r="E74" s="154">
        <v>73.0</v>
      </c>
    </row>
    <row r="75">
      <c r="E75" s="154">
        <v>74.0</v>
      </c>
    </row>
    <row r="76">
      <c r="E76" s="154">
        <v>75.0</v>
      </c>
    </row>
    <row r="77">
      <c r="E77" s="154">
        <v>76.0</v>
      </c>
    </row>
    <row r="78">
      <c r="E78" s="154">
        <v>77.0</v>
      </c>
    </row>
    <row r="79">
      <c r="E79" s="154">
        <v>78.0</v>
      </c>
    </row>
    <row r="80">
      <c r="E80" s="154">
        <v>79.0</v>
      </c>
    </row>
    <row r="81">
      <c r="E81" s="154">
        <v>80.0</v>
      </c>
    </row>
    <row r="82">
      <c r="E82" s="154">
        <v>81.0</v>
      </c>
    </row>
    <row r="83">
      <c r="E83" s="154">
        <v>82.0</v>
      </c>
    </row>
    <row r="84">
      <c r="E84" s="154">
        <v>83.0</v>
      </c>
    </row>
    <row r="85">
      <c r="E85" s="154">
        <v>84.0</v>
      </c>
    </row>
    <row r="86">
      <c r="E86" s="154">
        <v>85.0</v>
      </c>
    </row>
    <row r="87">
      <c r="E87" s="154">
        <v>86.0</v>
      </c>
    </row>
    <row r="88">
      <c r="E88" s="154">
        <v>87.0</v>
      </c>
    </row>
    <row r="89">
      <c r="E89" s="154">
        <v>88.0</v>
      </c>
    </row>
    <row r="90">
      <c r="E90" s="154">
        <v>89.0</v>
      </c>
    </row>
    <row r="91">
      <c r="E91" s="154">
        <v>90.0</v>
      </c>
    </row>
    <row r="92">
      <c r="E92" s="154">
        <v>91.0</v>
      </c>
    </row>
    <row r="93">
      <c r="E93" s="154">
        <v>92.0</v>
      </c>
    </row>
    <row r="94">
      <c r="E94" s="154">
        <v>93.0</v>
      </c>
    </row>
    <row r="95">
      <c r="E95" s="154">
        <v>94.0</v>
      </c>
    </row>
    <row r="96">
      <c r="E96" s="154">
        <v>95.0</v>
      </c>
    </row>
    <row r="97">
      <c r="E97" s="154">
        <v>96.0</v>
      </c>
    </row>
    <row r="98">
      <c r="E98" s="154">
        <v>97.0</v>
      </c>
    </row>
    <row r="99">
      <c r="E99" s="154">
        <v>98.0</v>
      </c>
    </row>
    <row r="100">
      <c r="E100" s="154">
        <v>99.0</v>
      </c>
    </row>
    <row r="101">
      <c r="E101" s="154">
        <v>100.0</v>
      </c>
    </row>
    <row r="102">
      <c r="E102" s="154">
        <v>101.0</v>
      </c>
    </row>
    <row r="103">
      <c r="E103" s="154">
        <v>102.0</v>
      </c>
    </row>
    <row r="104">
      <c r="E104" s="154">
        <v>103.0</v>
      </c>
    </row>
    <row r="105">
      <c r="E105" s="154">
        <v>104.0</v>
      </c>
    </row>
    <row r="106">
      <c r="E106" s="154">
        <v>105.0</v>
      </c>
    </row>
    <row r="107">
      <c r="E107" s="154">
        <v>106.0</v>
      </c>
    </row>
    <row r="108">
      <c r="E108" s="154">
        <v>107.0</v>
      </c>
    </row>
    <row r="109">
      <c r="E109" s="154">
        <v>108.0</v>
      </c>
    </row>
    <row r="110">
      <c r="E110" s="154">
        <v>109.0</v>
      </c>
    </row>
    <row r="111">
      <c r="E111" s="154">
        <v>110.0</v>
      </c>
    </row>
    <row r="112">
      <c r="E112" s="154">
        <v>111.0</v>
      </c>
    </row>
    <row r="113">
      <c r="E113" s="154">
        <v>112.0</v>
      </c>
    </row>
    <row r="114">
      <c r="E114" s="154">
        <v>113.0</v>
      </c>
    </row>
    <row r="115">
      <c r="E115" s="154">
        <v>114.0</v>
      </c>
    </row>
    <row r="116">
      <c r="E116" s="154">
        <v>115.0</v>
      </c>
    </row>
    <row r="117">
      <c r="E117" s="154">
        <v>116.0</v>
      </c>
    </row>
    <row r="118">
      <c r="E118" s="154">
        <v>117.0</v>
      </c>
    </row>
    <row r="119">
      <c r="E119" s="154">
        <v>118.0</v>
      </c>
    </row>
    <row r="120">
      <c r="E120" s="154">
        <v>119.0</v>
      </c>
    </row>
    <row r="121">
      <c r="E121" s="154">
        <v>120.0</v>
      </c>
    </row>
    <row r="122">
      <c r="E122" s="154">
        <v>121.0</v>
      </c>
    </row>
    <row r="123">
      <c r="E123" s="154">
        <v>122.0</v>
      </c>
    </row>
    <row r="124">
      <c r="E124" s="154">
        <v>123.0</v>
      </c>
    </row>
    <row r="125">
      <c r="E125" s="154">
        <v>124.0</v>
      </c>
    </row>
    <row r="126">
      <c r="E126" s="154">
        <v>125.0</v>
      </c>
    </row>
    <row r="127">
      <c r="E127" s="154">
        <v>126.0</v>
      </c>
    </row>
    <row r="128">
      <c r="E128" s="154">
        <v>127.0</v>
      </c>
    </row>
    <row r="129">
      <c r="E129" s="154">
        <v>128.0</v>
      </c>
    </row>
    <row r="130">
      <c r="E130" s="154">
        <v>129.0</v>
      </c>
    </row>
    <row r="131">
      <c r="E131" s="154">
        <v>130.0</v>
      </c>
    </row>
    <row r="132">
      <c r="E132" s="154">
        <v>131.0</v>
      </c>
    </row>
    <row r="133">
      <c r="E133" s="154">
        <v>132.0</v>
      </c>
    </row>
    <row r="134">
      <c r="E134" s="154">
        <v>133.0</v>
      </c>
    </row>
    <row r="135">
      <c r="E135" s="154">
        <v>134.0</v>
      </c>
    </row>
    <row r="136">
      <c r="E136" s="154">
        <v>135.0</v>
      </c>
    </row>
    <row r="137">
      <c r="E137" s="154">
        <v>136.0</v>
      </c>
    </row>
    <row r="138">
      <c r="E138" s="154">
        <v>137.0</v>
      </c>
    </row>
    <row r="139">
      <c r="E139" s="154">
        <v>138.0</v>
      </c>
    </row>
    <row r="140">
      <c r="E140" s="154">
        <v>139.0</v>
      </c>
    </row>
    <row r="141">
      <c r="E141" s="154">
        <v>140.0</v>
      </c>
    </row>
    <row r="142">
      <c r="E142" s="154">
        <v>141.0</v>
      </c>
    </row>
    <row r="143">
      <c r="E143" s="154">
        <v>142.0</v>
      </c>
    </row>
    <row r="144">
      <c r="E144" s="154">
        <v>143.0</v>
      </c>
    </row>
    <row r="145">
      <c r="E145" s="154">
        <v>144.0</v>
      </c>
    </row>
    <row r="146">
      <c r="E146" s="154">
        <v>145.0</v>
      </c>
    </row>
    <row r="147">
      <c r="E147" s="154">
        <v>146.0</v>
      </c>
    </row>
    <row r="148">
      <c r="E148" s="154">
        <v>147.0</v>
      </c>
    </row>
    <row r="149">
      <c r="E149" s="154">
        <v>148.0</v>
      </c>
    </row>
    <row r="150">
      <c r="E150" s="154">
        <v>149.0</v>
      </c>
    </row>
    <row r="151">
      <c r="E151" s="154">
        <v>150.0</v>
      </c>
    </row>
    <row r="152">
      <c r="E152" s="154">
        <v>151.0</v>
      </c>
    </row>
    <row r="153">
      <c r="E153" s="154">
        <v>152.0</v>
      </c>
    </row>
    <row r="154">
      <c r="E154" s="154">
        <v>153.0</v>
      </c>
    </row>
    <row r="155">
      <c r="E155" s="154">
        <v>154.0</v>
      </c>
    </row>
    <row r="156">
      <c r="E156" s="154">
        <v>155.0</v>
      </c>
    </row>
    <row r="157">
      <c r="E157" s="154">
        <v>156.0</v>
      </c>
    </row>
    <row r="158">
      <c r="E158" s="154">
        <v>157.0</v>
      </c>
    </row>
    <row r="159">
      <c r="E159" s="154">
        <v>158.0</v>
      </c>
    </row>
    <row r="160">
      <c r="E160" s="154">
        <v>159.0</v>
      </c>
    </row>
    <row r="161">
      <c r="E161" s="154">
        <v>160.0</v>
      </c>
    </row>
    <row r="162">
      <c r="E162" s="154">
        <v>161.0</v>
      </c>
    </row>
    <row r="163">
      <c r="E163" s="154">
        <v>162.0</v>
      </c>
    </row>
    <row r="164">
      <c r="E164" s="154">
        <v>163.0</v>
      </c>
    </row>
    <row r="165">
      <c r="E165" s="154">
        <v>164.0</v>
      </c>
    </row>
    <row r="166">
      <c r="E166" s="154">
        <v>165.0</v>
      </c>
    </row>
    <row r="167">
      <c r="E167" s="154">
        <v>166.0</v>
      </c>
    </row>
    <row r="168">
      <c r="E168" s="154">
        <v>167.0</v>
      </c>
    </row>
    <row r="169">
      <c r="E169" s="154">
        <v>168.0</v>
      </c>
    </row>
    <row r="170">
      <c r="E170" s="154">
        <v>169.0</v>
      </c>
    </row>
    <row r="171">
      <c r="E171" s="154">
        <v>170.0</v>
      </c>
    </row>
    <row r="172">
      <c r="E172" s="154">
        <v>171.0</v>
      </c>
    </row>
    <row r="173">
      <c r="E173" s="154">
        <v>172.0</v>
      </c>
    </row>
    <row r="174">
      <c r="E174" s="154">
        <v>173.0</v>
      </c>
    </row>
    <row r="175">
      <c r="E175" s="154">
        <v>174.0</v>
      </c>
    </row>
    <row r="176">
      <c r="E176" s="154">
        <v>175.0</v>
      </c>
    </row>
    <row r="177">
      <c r="E177" s="154">
        <v>176.0</v>
      </c>
    </row>
    <row r="178">
      <c r="E178" s="154">
        <v>177.0</v>
      </c>
    </row>
    <row r="179">
      <c r="E179" s="154">
        <v>178.0</v>
      </c>
    </row>
    <row r="180">
      <c r="E180" s="154">
        <v>179.0</v>
      </c>
    </row>
    <row r="181">
      <c r="E181" s="154">
        <v>180.0</v>
      </c>
    </row>
    <row r="182">
      <c r="E182" s="154">
        <v>181.0</v>
      </c>
    </row>
    <row r="183">
      <c r="E183" s="154">
        <v>182.0</v>
      </c>
    </row>
    <row r="184">
      <c r="E184" s="154">
        <v>183.0</v>
      </c>
    </row>
    <row r="185">
      <c r="E185" s="154">
        <v>184.0</v>
      </c>
    </row>
    <row r="186">
      <c r="E186" s="154">
        <v>185.0</v>
      </c>
    </row>
    <row r="187">
      <c r="E187" s="154">
        <v>186.0</v>
      </c>
    </row>
    <row r="188">
      <c r="E188" s="154">
        <v>187.0</v>
      </c>
    </row>
    <row r="189">
      <c r="E189" s="154">
        <v>188.0</v>
      </c>
    </row>
    <row r="190">
      <c r="E190" s="154">
        <v>189.0</v>
      </c>
    </row>
    <row r="191">
      <c r="E191" s="154">
        <v>190.0</v>
      </c>
    </row>
    <row r="192">
      <c r="E192" s="154">
        <v>191.0</v>
      </c>
    </row>
    <row r="193">
      <c r="E193" s="154">
        <v>192.0</v>
      </c>
    </row>
    <row r="194">
      <c r="E194" s="154">
        <v>193.0</v>
      </c>
    </row>
    <row r="195">
      <c r="E195" s="154">
        <v>194.0</v>
      </c>
    </row>
    <row r="196">
      <c r="E196" s="154">
        <v>195.0</v>
      </c>
    </row>
    <row r="197">
      <c r="E197" s="154">
        <v>196.0</v>
      </c>
    </row>
    <row r="198">
      <c r="E198" s="154">
        <v>197.0</v>
      </c>
    </row>
    <row r="199">
      <c r="E199" s="154">
        <v>198.0</v>
      </c>
    </row>
    <row r="200">
      <c r="E200" s="154">
        <v>199.0</v>
      </c>
    </row>
    <row r="201">
      <c r="E201" s="154">
        <v>200.0</v>
      </c>
    </row>
    <row r="202">
      <c r="E202" s="154">
        <v>201.0</v>
      </c>
    </row>
    <row r="203">
      <c r="E203" s="154">
        <v>202.0</v>
      </c>
    </row>
    <row r="204">
      <c r="E204" s="154">
        <v>203.0</v>
      </c>
    </row>
    <row r="205">
      <c r="E205" s="154">
        <v>204.0</v>
      </c>
    </row>
    <row r="206">
      <c r="E206" s="154">
        <v>205.0</v>
      </c>
    </row>
    <row r="207">
      <c r="E207" s="154">
        <v>206.0</v>
      </c>
    </row>
    <row r="208">
      <c r="E208" s="154">
        <v>207.0</v>
      </c>
    </row>
    <row r="209">
      <c r="E209" s="154">
        <v>208.0</v>
      </c>
    </row>
    <row r="210">
      <c r="E210" s="154">
        <v>209.0</v>
      </c>
    </row>
    <row r="211">
      <c r="E211" s="154">
        <v>210.0</v>
      </c>
    </row>
    <row r="212">
      <c r="E212" s="154">
        <v>211.0</v>
      </c>
    </row>
    <row r="213">
      <c r="E213" s="154">
        <v>212.0</v>
      </c>
    </row>
    <row r="214">
      <c r="E214" s="154">
        <v>213.0</v>
      </c>
    </row>
    <row r="215">
      <c r="E215" s="154">
        <v>214.0</v>
      </c>
    </row>
    <row r="216">
      <c r="E216" s="154">
        <v>215.0</v>
      </c>
    </row>
    <row r="217">
      <c r="E217" s="154">
        <v>216.0</v>
      </c>
    </row>
    <row r="218">
      <c r="E218" s="154">
        <v>217.0</v>
      </c>
    </row>
    <row r="219">
      <c r="E219" s="154">
        <v>218.0</v>
      </c>
    </row>
    <row r="220">
      <c r="E220" s="154">
        <v>219.0</v>
      </c>
    </row>
    <row r="221">
      <c r="E221" s="154">
        <v>220.0</v>
      </c>
    </row>
    <row r="222">
      <c r="E222" s="154">
        <v>221.0</v>
      </c>
    </row>
    <row r="223">
      <c r="E223" s="154">
        <v>222.0</v>
      </c>
    </row>
    <row r="224">
      <c r="E224" s="154">
        <v>223.0</v>
      </c>
    </row>
    <row r="225">
      <c r="E225" s="154">
        <v>224.0</v>
      </c>
    </row>
    <row r="226">
      <c r="E226" s="154">
        <v>225.0</v>
      </c>
    </row>
    <row r="227">
      <c r="E227" s="154">
        <v>226.0</v>
      </c>
    </row>
    <row r="228">
      <c r="E228" s="154">
        <v>227.0</v>
      </c>
    </row>
    <row r="229">
      <c r="E229" s="154">
        <v>228.0</v>
      </c>
    </row>
    <row r="230">
      <c r="E230" s="154">
        <v>229.0</v>
      </c>
    </row>
    <row r="231">
      <c r="E231" s="154">
        <v>230.0</v>
      </c>
    </row>
    <row r="232">
      <c r="E232" s="154">
        <v>231.0</v>
      </c>
    </row>
    <row r="233">
      <c r="E233" s="154">
        <v>232.0</v>
      </c>
    </row>
    <row r="234">
      <c r="E234" s="154">
        <v>233.0</v>
      </c>
    </row>
    <row r="235">
      <c r="E235" s="154">
        <v>234.0</v>
      </c>
    </row>
    <row r="236">
      <c r="E236" s="154">
        <v>235.0</v>
      </c>
    </row>
    <row r="237">
      <c r="E237" s="154">
        <v>236.0</v>
      </c>
    </row>
    <row r="238">
      <c r="E238" s="154">
        <v>237.0</v>
      </c>
    </row>
    <row r="239">
      <c r="E239" s="154">
        <v>238.0</v>
      </c>
    </row>
    <row r="240">
      <c r="E240" s="154">
        <v>239.0</v>
      </c>
    </row>
    <row r="241">
      <c r="E241" s="154">
        <v>240.0</v>
      </c>
    </row>
    <row r="242">
      <c r="E242" s="154">
        <v>241.0</v>
      </c>
    </row>
    <row r="243">
      <c r="E243" s="154">
        <v>242.0</v>
      </c>
    </row>
    <row r="244">
      <c r="E244" s="154">
        <v>243.0</v>
      </c>
    </row>
    <row r="245">
      <c r="E245" s="154">
        <v>244.0</v>
      </c>
    </row>
    <row r="246">
      <c r="E246" s="154">
        <v>245.0</v>
      </c>
    </row>
    <row r="247">
      <c r="E247" s="154">
        <v>246.0</v>
      </c>
    </row>
    <row r="248">
      <c r="E248" s="154">
        <v>247.0</v>
      </c>
    </row>
    <row r="249">
      <c r="E249" s="154">
        <v>248.0</v>
      </c>
    </row>
    <row r="250">
      <c r="E250" s="154">
        <v>249.0</v>
      </c>
    </row>
    <row r="251">
      <c r="E251" s="154">
        <v>250.0</v>
      </c>
    </row>
    <row r="252">
      <c r="E252" s="154">
        <v>251.0</v>
      </c>
    </row>
    <row r="253">
      <c r="E253" s="154">
        <v>252.0</v>
      </c>
    </row>
    <row r="254">
      <c r="E254" s="154">
        <v>253.0</v>
      </c>
    </row>
    <row r="255">
      <c r="E255" s="154">
        <v>254.0</v>
      </c>
    </row>
    <row r="256">
      <c r="E256" s="154">
        <v>255.0</v>
      </c>
    </row>
    <row r="257">
      <c r="E257" s="154">
        <v>256.0</v>
      </c>
    </row>
  </sheetData>
  <mergeCells count="3">
    <mergeCell ref="B2:C2"/>
    <mergeCell ref="B10:C10"/>
    <mergeCell ref="B18:C18"/>
  </mergeCells>
  <drawing r:id="rId1"/>
</worksheet>
</file>